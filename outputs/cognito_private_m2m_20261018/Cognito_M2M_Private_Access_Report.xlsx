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8e031fdfb4943" 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結論" sheetId="1" r:id="Rc490e44ffbd14f7e"/>
    <sheet name="01_基礎と歴史" sheetId="2" r:id="Rbd5c9122def54291"/>
    <sheet name="02_構成と経路" sheetId="3" r:id="Rb81cfd6811784801"/>
    <sheet name="03_設定と移行" sheetId="4" r:id="Rddab2ff1dc04490b"/>
    <sheet name="04_呼出方法" sheetId="5" r:id="Rc9d1332b6b9f4844"/>
    <sheet name="05_実装コード" sheetId="6" r:id="Rb527d2771cdb4238"/>
    <sheet name="06_JMeter" sheetId="7" r:id="R38b3a7dea37b486d"/>
    <sheet name="07_運用と検証" sheetId="8" r:id="Rb7f821971b7e4eca"/>
    <sheet name="08_負荷と費用" sheetId="9" r:id="R9977399378014bd8"/>
    <sheet name="09_根拠と未確定" sheetId="10" r:id="R1e6017bfdf7241ed"/>
  </sheets>
  <definedNames>
    <definedName name="_xlnm.Print_Area" localSheetId="0">'00_結論'!$B$2:$E$22</definedName>
    <definedName name="_xlnm.Print_Titles" localSheetId="0">'00_結論'!$1:$7</definedName>
    <definedName name="_xlnm.Print_Area" localSheetId="1">'01_基礎と歴史'!$B$2:$E$38</definedName>
    <definedName name="_xlnm.Print_Titles" localSheetId="1">'01_基礎と歴史'!$1:$7</definedName>
    <definedName name="_xlnm.Print_Area" localSheetId="2">'02_構成と経路'!$B$2:$E$86</definedName>
    <definedName name="_xlnm.Print_Titles" localSheetId="2">'02_構成と経路'!$1:$5</definedName>
    <definedName name="_xlnm.Print_Area" localSheetId="3">'03_設定と移行'!$B$2:$E$107</definedName>
    <definedName name="_xlnm.Print_Titles" localSheetId="3">'03_設定と移行'!$1:$7</definedName>
    <definedName name="_xlnm.Print_Area" localSheetId="4">'04_呼出方法'!$B$2:$E$72</definedName>
    <definedName name="_xlnm.Print_Titles" localSheetId="4">'04_呼出方法'!$1:$7</definedName>
    <definedName name="_xlnm.Print_Area" localSheetId="5">'05_実装コード'!$B$2:$E$300</definedName>
    <definedName name="_xlnm.Print_Titles" localSheetId="5">'05_実装コード'!$1:$7</definedName>
    <definedName name="_xlnm.Print_Area" localSheetId="6">'06_JMeter'!$B$2:$E$216</definedName>
    <definedName name="_xlnm.Print_Titles" localSheetId="6">'06_JMeter'!$1:$7</definedName>
    <definedName name="_xlnm.Print_Area" localSheetId="7">'07_運用と検証'!$B$2:$E$57</definedName>
    <definedName name="_xlnm.Print_Titles" localSheetId="7">'07_運用と検証'!$1:$7</definedName>
    <definedName name="_xlnm.Print_Area" localSheetId="8">'08_負荷と費用'!$B$2:$E$46</definedName>
    <definedName name="_xlnm.Print_Titles" localSheetId="8">'08_負荷と費用'!$1:$7</definedName>
    <definedName name="_xlnm.Print_Area" localSheetId="9">'09_根拠と未確定'!$B$2:$E$82</definedName>
    <definedName name="_xlnm.Print_Titles" localSheetId="9">'09_根拠と未確定'!$1:$7</definedName>
  </definedNames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3">
    <numFmt numFmtId="200" formatCode="#,##0"/>
    <numFmt numFmtId="201" formatCode="0.000%"/>
    <numFmt numFmtId="202" formatCode="#,##0.0000"/>
  </numFmts>
  <fonts count="6">
    <font>
      <sz val="11"/>
      <name val="Meiryo UI"/>
    </font>
    <font>
      <b/>
      <sz val="15"/>
      <color rgb="FF202020"/>
      <name val="Meiryo UI"/>
    </font>
    <font>
      <sz val="10"/>
      <color rgb="FF686868"/>
      <name val="Meiryo UI"/>
    </font>
    <font>
      <sz val="10"/>
      <color rgb="FF202020"/>
      <name val="Meiryo UI"/>
    </font>
    <font>
      <b/>
      <sz val="10"/>
      <color rgb="FF202020"/>
      <name val="Meiryo UI"/>
    </font>
    <font>
      <b/>
      <sz val="10"/>
      <color rgb="FFFFFFFF"/>
      <name val="Meiryo UI"/>
    </font>
  </fonts>
  <fills count="6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343434"/>
      </patternFill>
    </fill>
    <fill>
      <patternFill patternType="solid">
        <fgColor rgb="FFF5F5F5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C9C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0"/>
    </xf>
    <xf numFmtId="0" fontId="0" fillId="0" borderId="1" xfId="0" applyNumberFormat="1" applyFont="1" applyFill="1" applyBorder="1"/>
    <xf numFmtId="0" fontId="2" fillId="0" borderId="1" xfId="0" applyNumberFormat="1" applyFont="1" applyFill="1" applyBorder="1"/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/>
    </xf>
    <xf numFmtId="0" fontId="3" fillId="2" borderId="0" xfId="0" applyNumberFormat="1" applyFont="1" applyFill="1" applyBorder="1" applyAlignment="1">
      <alignment vertical="top" wrapText="1"/>
    </xf>
    <xf numFmtId="0" fontId="4" fillId="2" borderId="0" xfId="0" applyNumberFormat="1" applyFont="1" applyFill="1" applyBorder="1" applyAlignment="1">
      <alignment vertical="top" wrapText="1"/>
    </xf>
    <xf numFmtId="0" fontId="4" fillId="2" borderId="0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 applyAlignment="1">
      <alignment vertical="center" wrapText="0"/>
    </xf>
    <xf numFmtId="0" fontId="4" fillId="2" borderId="1" xfId="0" applyNumberFormat="1" applyFont="1" applyFill="1" applyBorder="1" applyAlignment="1">
      <alignment vertical="center" wrapText="0"/>
    </xf>
    <xf numFmtId="0" fontId="4" fillId="2" borderId="1" xfId="0" applyNumberFormat="1" applyFont="1" applyFill="1" applyBorder="1" applyAlignment="1">
      <alignment vertical="center" wrapText="1"/>
    </xf>
    <xf numFmtId="0" fontId="0" fillId="3" borderId="0" xfId="0" applyNumberFormat="1" applyFont="1" applyFill="1" applyBorder="1"/>
    <xf numFmtId="0" fontId="5" fillId="3" borderId="0" xfId="0" applyNumberFormat="1" applyFont="1" applyFill="1" applyBorder="1"/>
    <xf numFmtId="0" fontId="5" fillId="3" borderId="0" xfId="0" applyNumberFormat="1" applyFont="1" applyFill="1" applyBorder="1" applyAlignment="1">
      <alignment wrapText="1"/>
    </xf>
    <xf numFmtId="0" fontId="5" fillId="3" borderId="0" xfId="0" applyNumberFormat="1" applyFont="1" applyFill="1" applyBorder="1" applyAlignment="1">
      <alignment horizontal="center" wrapText="1"/>
    </xf>
    <xf numFmtId="0" fontId="5" fillId="3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vertical="top" wrapText="1"/>
    </xf>
    <xf numFmtId="0" fontId="3" fillId="4" borderId="0" xfId="0" applyNumberFormat="1" applyFont="1" applyFill="1" applyBorder="1" applyAlignment="1">
      <alignment vertical="top" wrapText="1"/>
    </xf>
    <xf numFmtId="0" fontId="4" fillId="4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/>
    </xf>
    <xf numFmtId="0" fontId="2" fillId="4" borderId="0" xfId="0" applyNumberFormat="1" applyFont="1" applyFill="1" applyBorder="1" applyAlignment="1">
      <alignment vertical="top" wrapText="1"/>
    </xf>
    <xf numFmtId="0" fontId="3" fillId="5" borderId="0" xfId="0" applyNumberFormat="1" applyFont="1" applyFill="1" applyBorder="1" applyAlignment="1">
      <alignment vertical="top" wrapText="1"/>
    </xf>
    <xf numFmtId="0" fontId="3" fillId="5" borderId="0" xfId="0" applyNumberFormat="1" applyFont="1" applyFill="1" applyBorder="1" applyAlignment="1">
      <alignment horizontal="right" vertical="top" wrapText="1"/>
    </xf>
    <xf numFmtId="200" fontId="3" fillId="5" borderId="0" xfId="0" applyNumberFormat="1" applyFont="1" applyFill="1" applyBorder="1" applyAlignment="1">
      <alignment horizontal="right" vertical="top" wrapText="1"/>
    </xf>
    <xf numFmtId="201" fontId="3" fillId="5" borderId="0" xfId="0" applyNumberFormat="1" applyFont="1" applyFill="1" applyBorder="1" applyAlignment="1">
      <alignment horizontal="right" vertical="top" wrapText="1"/>
    </xf>
    <xf numFmtId="0" fontId="3" fillId="4" borderId="0" xfId="0" applyNumberFormat="1" applyFont="1" applyFill="1" applyBorder="1" applyAlignment="1">
      <alignment horizontal="right" vertical="top" wrapText="1"/>
    </xf>
    <xf numFmtId="200" fontId="3" fillId="4" borderId="0" xfId="0" applyNumberFormat="1" applyFont="1" applyFill="1" applyBorder="1" applyAlignment="1">
      <alignment horizontal="right" vertical="top" wrapText="1"/>
    </xf>
    <xf numFmtId="0" fontId="3" fillId="0" borderId="0" xfId="0" applyNumberFormat="1" applyFont="1" applyFill="1" applyBorder="1" applyAlignment="1">
      <alignment horizontal="right" vertical="top" wrapText="1"/>
    </xf>
    <xf numFmtId="200" fontId="3" fillId="0" borderId="0" xfId="0" applyNumberFormat="1" applyFont="1" applyFill="1" applyBorder="1" applyAlignment="1">
      <alignment horizontal="right" vertical="top" wrapText="1"/>
    </xf>
    <xf numFmtId="201" fontId="3" fillId="4" borderId="0" xfId="0" applyNumberFormat="1" applyFont="1" applyFill="1" applyBorder="1" applyAlignment="1">
      <alignment horizontal="right" vertical="top" wrapText="1"/>
    </xf>
    <xf numFmtId="201" fontId="4" fillId="4" borderId="0" xfId="0" applyNumberFormat="1" applyFont="1" applyFill="1" applyBorder="1" applyAlignment="1">
      <alignment horizontal="right" vertical="top" wrapText="1"/>
    </xf>
    <xf numFmtId="202" fontId="3" fillId="0" borderId="0" xfId="0" applyNumberFormat="1" applyFont="1" applyFill="1" applyBorder="1" applyAlignment="1">
      <alignment vertical="top" wrapText="1"/>
    </xf>
    <xf numFmtId="202" fontId="3" fillId="5" borderId="0" xfId="0" applyNumberFormat="1" applyFont="1" applyFill="1" applyBorder="1" applyAlignment="1">
      <alignment vertical="top" wrapText="1"/>
    </xf>
    <xf numFmtId="202" fontId="3" fillId="4" borderId="0" xfId="0" applyNumberFormat="1" applyFont="1" applyFill="1" applyBorder="1" applyAlignment="1">
      <alignment vertical="top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d8fd06eb714ecc" /><Relationship Type="http://schemas.openxmlformats.org/officeDocument/2006/relationships/theme" Target="/xl/theme/theme1.xml" Id="R1654e663698645a6" /><Relationship Type="http://schemas.openxmlformats.org/officeDocument/2006/relationships/sharedStrings" Target="/xl/sharedStrings.xml" Id="Ra2c02024dfd34d73" /><Relationship Type="http://schemas.openxmlformats.org/officeDocument/2006/relationships/worksheet" Target="/xl/worksheets/sheet1.xml" Id="Rc490e44ffbd14f7e" /><Relationship Type="http://schemas.openxmlformats.org/officeDocument/2006/relationships/worksheet" Target="/xl/worksheets/sheet2.xml" Id="Rbd5c9122def54291" /><Relationship Type="http://schemas.openxmlformats.org/officeDocument/2006/relationships/worksheet" Target="/xl/worksheets/sheet3.xml" Id="Rb81cfd6811784801" /><Relationship Type="http://schemas.openxmlformats.org/officeDocument/2006/relationships/worksheet" Target="/xl/worksheets/sheet4.xml" Id="Rddab2ff1dc04490b" /><Relationship Type="http://schemas.openxmlformats.org/officeDocument/2006/relationships/worksheet" Target="/xl/worksheets/sheet5.xml" Id="Rc9d1332b6b9f4844" /><Relationship Type="http://schemas.openxmlformats.org/officeDocument/2006/relationships/worksheet" Target="/xl/worksheets/sheet6.xml" Id="Rb527d2771cdb4238" /><Relationship Type="http://schemas.openxmlformats.org/officeDocument/2006/relationships/worksheet" Target="/xl/worksheets/sheet7.xml" Id="R38b3a7dea37b486d" /><Relationship Type="http://schemas.openxmlformats.org/officeDocument/2006/relationships/worksheet" Target="/xl/worksheets/sheet8.xml" Id="Rb7f821971b7e4eca" /><Relationship Type="http://schemas.openxmlformats.org/officeDocument/2006/relationships/worksheet" Target="/xl/worksheets/sheet9.xml" Id="R9977399378014bd8" /><Relationship Type="http://schemas.openxmlformats.org/officeDocument/2006/relationships/worksheet" Target="/xl/worksheets/sheet10.xml" Id="R1e6017bfdf7241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9180aaa29534c96" /><Relationship Type="http://schemas.openxmlformats.org/officeDocument/2006/relationships/image" Target="/xl/media/image2.png" Id="R9bc1b9451f114adc" /><Relationship Type="http://schemas.openxmlformats.org/officeDocument/2006/relationships/image" Target="/xl/media/image3.png" Id="Rd44e43d4fda84d63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6</xdr:row>
      <xdr:rowOff>0</xdr:rowOff>
    </xdr:from>
    <xdr:ext cx="10258425" cy="2857500"/>
    <xdr:pic>
      <xdr:nvPicPr>
        <xdr:cNvPr id="1" name="ab9dc5ea-6590-4d37-9ad5-c01467cc94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180aaa29534c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29</xdr:row>
      <xdr:rowOff>0</xdr:rowOff>
    </xdr:from>
    <xdr:ext cx="10258425" cy="2857500"/>
    <xdr:pic>
      <xdr:nvPicPr>
        <xdr:cNvPr id="2" name="90424028-6885-4ce4-8ccc-9fd39911dc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c1b9451f114a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54</xdr:row>
      <xdr:rowOff>0</xdr:rowOff>
    </xdr:from>
    <xdr:ext cx="10258425" cy="2857500"/>
    <xdr:pic>
      <xdr:nvPicPr>
        <xdr:cNvPr id="3" name="68d8dd83-0681-4ff1-b964-9797dedbc1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4e43d4fda84d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ns0:theme xmlns:ns0="http://schemas.openxmlformats.org/drawingml/2006/main" name="ChatGPT">
  <ns0:themeElements>
    <ns0:clrScheme name="ChatGPT">
      <ns0:dk1>
        <ns0:sysClr val="windowText" lastClr="000000"/>
      </ns0:dk1>
      <ns0:lt1>
        <ns0:sysClr val="window" lastClr="FFFFFF"/>
      </ns0:lt1>
      <ns0:dk2>
        <ns0:srgbClr val="0E2841"/>
      </ns0:dk2>
      <ns0:lt2>
        <ns0:srgbClr val="E8E8E8"/>
      </ns0:lt2>
      <ns0:accent1>
        <ns0:srgbClr val="156082"/>
      </ns0:accent1>
      <ns0:accent2>
        <ns0:srgbClr val="E97132"/>
      </ns0:accent2>
      <ns0:accent3>
        <ns0:srgbClr val="196B24"/>
      </ns0:accent3>
      <ns0:accent4>
        <ns0:srgbClr val="0F9ED5"/>
      </ns0:accent4>
      <ns0:accent5>
        <ns0:srgbClr val="A02B93"/>
      </ns0:accent5>
      <ns0:accent6>
        <ns0:srgbClr val="4EA72E"/>
      </ns0:accent6>
      <ns0:hlink>
        <ns0:srgbClr val="467886"/>
      </ns0:hlink>
      <ns0:folHlink>
        <ns0:srgbClr val="96607D"/>
      </ns0:folHlink>
    </ns0:clrScheme>
    <ns0:fontScheme name="Office">
      <ns0:majorFont>
        <ns0:latin typeface="Meiryo UI"/>
        <ns0:ea typeface="Meiryo UI"/>
        <ns0:cs typeface="Calibri Light"/>
      </ns0:majorFont>
      <ns0:minorFont>
        <ns0:latin typeface="Meiryo UI"/>
        <ns0:ea typeface="Meiryo UI"/>
        <ns0:cs typeface="Calibri"/>
      </ns0:minorFont>
    </ns0:fontScheme>
    <ns0:fmtScheme name="ChatGPT">
      <ns0:fillStyleLst>
        <ns0:solidFill>
          <ns0:schemeClr val="phClr"/>
        </ns0:solidFill>
        <ns0:gradFill>
          <ns0:gsLst>
            <ns0:gs pos="0">
              <ns0:schemeClr val="phClr">
                <ns0:tint val="67000"/>
                <ns0:lumMod val="110000"/>
                <ns0:satMod val="105000"/>
              </ns0:schemeClr>
            </ns0:gs>
            <ns0:gs pos="50000">
              <ns0:schemeClr val="phClr">
                <ns0:tint val="73000"/>
                <ns0:lumMod val="105000"/>
                <ns0:satMod val="103000"/>
              </ns0:schemeClr>
            </ns0:gs>
            <ns0:gs pos="100000">
              <ns0:schemeClr val="phClr">
                <ns0:tint val="81000"/>
                <ns0:lumMod val="105000"/>
                <ns0:satMod val="109000"/>
              </ns0:schemeClr>
            </ns0:gs>
          </ns0:gsLst>
          <ns0:lin ang="5400000" scaled="0"/>
        </ns0:gradFill>
        <ns0:gradFill>
          <ns0:gsLst>
            <ns0:gs pos="0">
              <ns0:schemeClr val="phClr">
                <ns0:tint val="94000"/>
                <ns0:lumMod val="102000"/>
                <ns0:satMod val="103000"/>
              </ns0:schemeClr>
            </ns0:gs>
            <ns0:gs pos="50000">
              <ns0:schemeClr val="phClr">
                <ns0:shade val="100000"/>
                <ns0:lumMod val="100000"/>
                <ns0:satMod val="110000"/>
              </ns0:schemeClr>
            </ns0:gs>
            <ns0:gs pos="100000">
              <ns0:schemeClr val="phClr">
                <ns0:shade val="78000"/>
                <ns0:lumMod val="99000"/>
                <ns0:satMod val="120000"/>
              </ns0:schemeClr>
            </ns0:gs>
          </ns0:gsLst>
          <ns0:lin ang="5400000" scaled="0"/>
        </ns0:gradFill>
      </ns0:fillStyleLst>
      <ns0:lnStyleLst>
        <ns0:ln w="12700">
          <ns0:solidFill>
            <ns0:schemeClr val="phClr"/>
          </ns0:solidFill>
          <ns0:prstDash val="solid"/>
        </ns0:ln>
        <ns0:ln w="19050">
          <ns0:solidFill>
            <ns0:schemeClr val="phClr"/>
          </ns0:solidFill>
          <ns0:prstDash val="solid"/>
        </ns0:ln>
        <ns0:ln w="25400">
          <ns0:solidFill>
            <ns0:schemeClr val="phClr"/>
          </ns0:solidFill>
          <ns0:prstDash val="solid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>
          <ns0:gsLst>
            <ns0:gs pos="0">
              <ns0:schemeClr val="phClr">
                <ns0:tint val="93000"/>
                <ns0:shade val="98000"/>
                <ns0:lumMod val="102000"/>
                <ns0:satMod val="150000"/>
              </ns0:schemeClr>
            </ns0:gs>
            <ns0:gs pos="50000">
              <ns0:schemeClr val="phClr">
                <ns0:tint val="98000"/>
                <ns0:shade val="90000"/>
                <ns0:lumMod val="103000"/>
                <ns0:satMod val="130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</ns0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72cb9da534b4a6b" /></Relationships>
</file>

<file path=xl/worksheets/_rels/sheet10.xml.rels><?xml version='1.0' encoding='utf-8'?>
<ns0:Relationships xmlns:ns0="http://schemas.openxmlformats.org/package/2006/relationships"><ns0:Relationship Id="rIdLink1" Type="http://schemas.openxmlformats.org/officeDocument/2006/relationships/hyperlink" Target="https://aws.amazon.com/about-aws/whats-new/2026/08/amazon-cognito-get-client-token/" TargetMode="External" /><ns0:Relationship Id="rIdLink2" Type="http://schemas.openxmlformats.org/officeDocument/2006/relationships/hyperlink" Target="https://docs.aws.amazon.com/cognito-user-identity-pools/latest/APIReference/API_GetClientToken.html" TargetMode="External" /><ns0:Relationship Id="rIdLink3" Type="http://schemas.openxmlformats.org/officeDocument/2006/relationships/hyperlink" Target="https://docs.aws.amazon.com/cognito/latest/developerguide/vpc-interface-endpoints.html" TargetMode="External" /><ns0:Relationship Id="rIdLink4" Type="http://schemas.openxmlformats.org/officeDocument/2006/relationships/hyperlink" Target="https://docs.aws.amazon.com/cognito/latest/developerguide/cognito-user-pools-define-resource-servers.html" TargetMode="External" /><ns0:Relationship Id="rIdLink5" Type="http://schemas.openxmlformats.org/officeDocument/2006/relationships/hyperlink" Target="https://docs.aws.amazon.com/cli/latest/reference/cognito-idp/get-client-token.html" TargetMode="External" /><ns0:Relationship Id="rIdLink6" Type="http://schemas.openxmlformats.org/officeDocument/2006/relationships/hyperlink" Target="https://docs.aws.amazon.com/cognito/latest/developerguide/token-endpoint.html" TargetMode="External" /><ns0:Relationship Id="rIdLink7" Type="http://schemas.openxmlformats.org/officeDocument/2006/relationships/hyperlink" Target="https://docs.aws.amazon.com/apigateway/latest/developerguide/apigateway-private-apis.html" TargetMode="External" /><ns0:Relationship Id="rIdLink8" Type="http://schemas.openxmlformats.org/officeDocument/2006/relationships/hyperlink" Target="https://docs.aws.amazon.com/apigateway/latest/developerguide/apigateway-private-api-test-invoke-url.html" TargetMode="External" /><ns0:Relationship Id="rIdLink9" Type="http://schemas.openxmlformats.org/officeDocument/2006/relationships/hyperlink" Target="https://docs.aws.amazon.com/apigateway/latest/developerguide/apigateway-vpc-endpoint-policies.html" TargetMode="External" /><ns0:Relationship Id="rIdLink10" Type="http://schemas.openxmlformats.org/officeDocument/2006/relationships/hyperlink" Target="https://docs.aws.amazon.com/apigateway/latest/developerguide/apigateway-enable-cognito-user-pool.html" TargetMode="External" /><ns0:Relationship Id="rIdLink11" Type="http://schemas.openxmlformats.org/officeDocument/2006/relationships/hyperlink" Target="https://docs.aws.amazon.com/apigateway/latest/developerguide/apigateway-resource-policies-examples.html" TargetMode="External" /><ns0:Relationship Id="rIdLink12" Type="http://schemas.openxmlformats.org/officeDocument/2006/relationships/hyperlink" Target="https://docs.aws.amazon.com/cognito/latest/developerguide/cognito-identity-provider_example_cognito-identity-provider_GetClientToken_section.html" TargetMode="External" /><ns0:Relationship Id="rIdLink13" Type="http://schemas.openxmlformats.org/officeDocument/2006/relationships/hyperlink" Target="https://docs.aws.amazon.com/java/api/latest/software/amazon/awssdk/services/cognitoidentityprovider/model/GetClientTokenRequest.html" TargetMode="External" /><ns0:Relationship Id="rIdLink14" Type="http://schemas.openxmlformats.org/officeDocument/2006/relationships/hyperlink" Target="https://docs.aws.amazon.com/cognito/latest/developerguide/amazon-cognito-user-pools-using-the-access-token.html" TargetMode="External" /><ns0:Relationship Id="rIdLink15" Type="http://schemas.openxmlformats.org/officeDocument/2006/relationships/hyperlink" Target="https://docs.aws.amazon.com/cognito/latest/developerguide/amazon-cognito-user-pools-using-tokens-verifying-a-jwt.html" TargetMode="External" /><ns0:Relationship Id="rIdLink16" Type="http://schemas.openxmlformats.org/officeDocument/2006/relationships/hyperlink" Target="https://docs.aws.amazon.com/cognito/latest/developerguide/amazon-cognito-user-pools-using-tokens-caching-tokens.html" TargetMode="External" /><ns0:Relationship Id="rIdLink17" Type="http://schemas.openxmlformats.org/officeDocument/2006/relationships/hyperlink" Target="https://docs.aws.amazon.com/cognito/latest/developerguide/quotas.html" TargetMode="External" /><ns0:Relationship Id="rIdLink18" Type="http://schemas.openxmlformats.org/officeDocument/2006/relationships/hyperlink" Target="https://aws.amazon.com/cognito/pricing/" TargetMode="External" /><ns0:Relationship Id="rIdLink19" Type="http://schemas.openxmlformats.org/officeDocument/2006/relationships/hyperlink" Target="https://aws.amazon.com/privatelink/pricing/" TargetMode="External" /><ns0:Relationship Id="rIdLink20" Type="http://schemas.openxmlformats.org/officeDocument/2006/relationships/hyperlink" Target="https://docs.aws.amazon.com/vpc/latest/privatelink/privatelink-access-aws-services.html" TargetMode="External" /><ns0:Relationship Id="rIdLink21" Type="http://schemas.openxmlformats.org/officeDocument/2006/relationships/hyperlink" Target="https://docs.aws.amazon.com/vpc/latest/privatelink/interface-endpoints.html" TargetMode="External" /><ns0:Relationship Id="rIdLink22" Type="http://schemas.openxmlformats.org/officeDocument/2006/relationships/hyperlink" Target="https://docs.aws.amazon.com/secretsmanager/latest/userguide/vpc-endpoint-overview.html" TargetMode="External" /><ns0:Relationship Id="rIdLink23" Type="http://schemas.openxmlformats.org/officeDocument/2006/relationships/hyperlink" Target="https://docs.aws.amazon.com/directconnect/latest/UserGuide/Welcome.html" TargetMode="External" /><ns0:Relationship Id="rIdLink24" Type="http://schemas.openxmlformats.org/officeDocument/2006/relationships/hyperlink" Target="https://docs.aws.amazon.com/Route53/latest/DeveloperGuide/resolver-forwarding-inbound-queries.html" TargetMode="External" /><ns0:Relationship Id="rIdLink25" Type="http://schemas.openxmlformats.org/officeDocument/2006/relationships/hyperlink" Target="https://aws.amazon.com/blogs/apn/private-integration-salesforce-and-amazon-api-gateway/" TargetMode="External" /><ns0:Relationship Id="rIdLink26" Type="http://schemas.openxmlformats.org/officeDocument/2006/relationships/hyperlink" Target="https://trailhead.salesforce.com/content/learn/modules/private-connect-outbound-connections/create-an-outbound-connection" TargetMode="External" /><ns0:Relationship Id="rIdLink27" Type="http://schemas.openxmlformats.org/officeDocument/2006/relationships/hyperlink" Target="https://jmeter.apache.org/usermanual/component_reference.html" TargetMode="External" /><ns0:Relationship Id="rIdLink28" Type="http://schemas.openxmlformats.org/officeDocument/2006/relationships/hyperlink" Target="https://jmeter.apache.org/usermanual/get-started.html" TargetMode="External" /><ns0:Relationship Id="rIdLink29" Type="http://schemas.openxmlformats.org/officeDocument/2006/relationships/hyperlink" Target="https://jmeter.apache.org/usermanual/best-practices.html" TargetMode="External" /><ns0:Relationship Id="rIdLink30" Type="http://schemas.openxmlformats.org/officeDocument/2006/relationships/hyperlink" Target="https://jmeter.apache.org/usermanual/properties_reference.html" TargetMode="External" /><ns0:Relationship Id="rIdLink31" Type="http://schemas.openxmlformats.org/officeDocument/2006/relationships/hyperlink" Target="https://www.rfc-editor.org/rfc/rfc6749.html" TargetMode="External" /><ns0:Relationship Id="rIdLink32" Type="http://schemas.openxmlformats.org/officeDocument/2006/relationships/hyperlink" Target="https://aws.amazon.com/about-aws/whats-new/2017/08/amazon-cognito-launches-general-availability-of-a-built-in-customizable-user-experience-for-sign-in-oauth-2-0-support-and-federation-with-facebook-login-with-amazon-google-and-saml-providers-for-user-pools/" TargetMode="External" /><ns0:Relationship Id="rIdLink33" Type="http://schemas.openxmlformats.org/officeDocument/2006/relationships/hyperlink" Target="https://aws.amazon.com/blogs/compute/introducing-amazon-api-gateway-private-endpoints/" TargetMode="External" /><ns0:Relationship Id="rIdLink34" Type="http://schemas.openxmlformats.org/officeDocument/2006/relationships/hyperlink" Target="https://aws.amazon.com/about-aws/whats-new/2025/11/amazon-cognito-user-pools-private-connectivity-aws-privatelink/" TargetMode="External" /><ns0:Relationship Id="rIdLink35" Type="http://schemas.openxmlformats.org/officeDocument/2006/relationships/hyperlink" Target="https://docs.aws.amazon.com/cognito-user-identity-pools/latest/APIReference/API_CreateUserPoolClient.html" TargetMode="External" /><ns0:Relationship Id="rIdLink36" Type="http://schemas.openxmlformats.org/officeDocument/2006/relationships/hyperlink" Target="https://docs.aws.amazon.com/cognito-user-identity-pools/latest/APIReference/API_AddUserPoolClientSecret.html" TargetMode="External" /><ns0:Relationship Id="rIdLink37" Type="http://schemas.openxmlformats.org/officeDocument/2006/relationships/hyperlink" Target="https://docs.aws.amazon.com/cli/latest/reference/cognito-idp/update-user-pool.html" TargetMode="External" /><ns0:Relationship Id="rIdLink38" Type="http://schemas.openxmlformats.org/officeDocument/2006/relationships/hyperlink" Target="https://docs.aws.amazon.com/cognito/latest/developerguide/federation-endpoints.html" TargetMode="External" /><ns0:Relationship Id="rIdLink39" Type="http://schemas.openxmlformats.org/officeDocument/2006/relationships/hyperlink" Target="https://aws.amazon.com/blogs/aws/aws-mobile-services/" TargetMode="External" /><ns0:Relationship Id="rIdLink40" Type="http://schemas.openxmlformats.org/officeDocument/2006/relationships/hyperlink" Target="https://aws.amazon.com/about-aws/whats-new/2016/07/amazon-cognito-your-user-pools-is-now-generally-available/" TargetMode="External" /></ns0:Relationships>
</file>

<file path=xl/worksheets/sheet1.xml><?xml version="1.0" encoding="utf-8"?>
<worksheet xmlns="http://schemas.openxmlformats.org/spreadsheetml/2006/main">
  <sheetPr>
    <tabColor rgb="FF343434"/>
    <pageSetUpPr fitToPage="1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30" hidden="0" customWidth="1"/>
    <col min="3" max="3" width="72" hidden="0" customWidth="1"/>
    <col min="4" max="4" width="61" hidden="0" customWidth="1"/>
    <col min="5" max="5" width="18" hidden="0" customWidth="1"/>
    <col min="6" max="6" width="3" hidden="0" customWidth="1"/>
  </cols>
  <sheetData>
    <row r="2" ht="30" customHeight="1">
      <c r="B2" s="2" t="str">
        <v>00 検討結果</v>
      </c>
    </row>
    <row r="3" ht="23" customHeight="1">
      <c r="B3" s="3"/>
      <c r="C3" s="4" t="str">
        <v>調査基準日：2026-10-18</v>
      </c>
      <c r="D3" s="3"/>
      <c r="E3" s="3"/>
    </row>
    <row r="4" ht="53" customHeight="1">
      <c r="C4" s="7" t="str">
        <v>調査基準日：2026-10-18（日本時間）。結論は条件付きで可能。GetClientTokenとCognito用VPCEを使い、Private REST APIへの経路も個別に閉域化する。AWS・Salesforceの実環境には接続していない。</v>
      </c>
    </row>
    <row r="6" ht="25" customHeight="1">
      <c r="B6" s="13" t="str">
        <v>質問への回答</v>
      </c>
      <c r="C6" s="14"/>
      <c r="D6" s="14"/>
      <c r="E6" s="14"/>
    </row>
    <row r="7" ht="28" customHeight="1">
      <c r="B7" s="19" t="str">
        <v>項目</v>
      </c>
      <c r="C7" s="19" t="str">
        <v>意味・判断根拠</v>
      </c>
      <c r="D7" s="19" t="str">
        <v>設定・運用への反映</v>
      </c>
      <c r="E7" s="19" t="str">
        <v>根拠</v>
      </c>
    </row>
    <row r="8" ht="40" customHeight="1">
      <c r="B8" s="20" t="str">
        <v>SDKを使えば自動で閉域になるか</v>
      </c>
      <c r="C8" s="7" t="str">
        <v>ならない。SDKは依頼を組み立てる道具。接続先・DNS・ルートが通信経路を決める。</v>
      </c>
      <c r="D8" s="7" t="str">
        <v>CognitoのGetClientTokenに対応したSDKと、cognito-idp用Interface VPCE、private DNSを組み合わせる。</v>
      </c>
      <c r="E8" s="7" t="str">
        <v>S01 S03 S20</v>
      </c>
    </row>
    <row r="9" ht="55" customHeight="1">
      <c r="B9" s="22" t="str">
        <v>M2Mトークンを閉域で取得できるか</v>
      </c>
      <c r="C9" s="21" t="str">
        <v>できる。2026-08-31公開のGetClientTokenがPrivateLinkに対応する。従来のOAuth /oauth2/tokenとは別の入口。</v>
      </c>
      <c r="D9" s="21" t="str">
        <v>ドメインなしの専用プール／専用アプリクライアントを検証構成の基準にする。既存のclient_credentials設定だけでは利用条件を満たさない。</v>
      </c>
      <c r="E9" s="21" t="str">
        <v>S01 S02 S03</v>
      </c>
    </row>
    <row r="10" ht="40" customHeight="1">
      <c r="B10" s="20" t="str">
        <v>既存のOAuthトークンURLをそのまま使えるか</v>
      </c>
      <c r="C10" s="7" t="str">
        <v>/oauth2/tokenはPrivateLink対象外。curl・JMeter・SDKラッパーで呼び方を変えても、同じURLなら閉域化できない。</v>
      </c>
      <c r="D10" s="7" t="str">
        <v>JSON形式のGetClientTokenに切り替える。NATやHTTPプロキシで中継しても、公開入口への接続は残る。</v>
      </c>
      <c r="E10" s="7" t="str">
        <v>S03 S06</v>
      </c>
    </row>
    <row r="11" ht="40" customHeight="1">
      <c r="B11" s="22" t="str">
        <v>Private REST APIも公衆網なしで呼べるか</v>
      </c>
      <c r="C11" s="21" t="str">
        <v>できる。JMeter実行機からexecute-api用VPCEに到達し、Private REST APIを呼ぶ。</v>
      </c>
      <c r="D11" s="21" t="str">
        <v>トークン用VPCEとAPI用VPCEは別に必要。APIのリソースポリシー・認可スコープ・TLS・DNSを確認する。</v>
      </c>
      <c r="E11" s="21" t="str">
        <v>S07 S08 S10</v>
      </c>
    </row>
    <row r="12" ht="55" customHeight="1">
      <c r="B12" s="20" t="str">
        <v>Salesforce接続がある場合</v>
      </c>
      <c r="C12" s="7" t="str">
        <v>Private Connect outbound等でSalesforceからAWSへの経路を閉域化できる。ただし業務APIへの経路だけではトークン取得先の閉域性を証明できない。</v>
      </c>
      <c r="D12" s="7" t="str">
        <v>Salesforce側のトークン取得を別に設計。GetClientTokenは標準OAuthフォームと違うため、Named Credentialでの利用可否を個別検証する。</v>
      </c>
      <c r="E12" s="7" t="str">
        <v>S25 S26 S02</v>
      </c>
    </row>
    <row r="13" ht="40" customHeight="1">
      <c r="B13" s="22" t="str">
        <v>NLBがあればCognitoも通れるか</v>
      </c>
      <c r="C13" s="21" t="str">
        <v>NLBはL4の中継装置。API向けNLBを置くだけではCognito向け経路もOAuth→AWS JSONの変換も生まれない。</v>
      </c>
      <c r="D13" s="21" t="str">
        <v>必要なら認証済みの内部トークンブローカーを別途設計。接続先を自由指定できる汎用プロキシにしない。</v>
      </c>
      <c r="E13" s="21" t="str">
        <v>設計提案 S02 S26</v>
      </c>
    </row>
    <row r="14" ht="40" customHeight="1">
      <c r="B14" s="20" t="str">
        <v>この調査の確度</v>
      </c>
      <c r="C14" s="7" t="str">
        <v>GetClientTokenの存在・API契約・PrivateLink対応は公式資料で確認。利用リージョン・既存プール設定・Salesforce契約・実通信は未確認。</v>
      </c>
      <c r="D14" s="7" t="str">
        <v>資料のコードは設計・ローカル検証の例。実環境の閉域性と互換性は受入試験で確定する。</v>
      </c>
      <c r="E14" s="7" t="str">
        <v>S01 S02 S03</v>
      </c>
    </row>
    <row r="16" ht="25" customHeight="1">
      <c r="B16" s="13" t="str">
        <v>推奨する運用判断</v>
      </c>
      <c r="C16" s="14"/>
      <c r="D16" s="14"/>
      <c r="E16" s="14"/>
    </row>
    <row r="17" ht="28" customHeight="1">
      <c r="B17" s="19" t="str">
        <v>項目</v>
      </c>
      <c r="C17" s="19" t="str">
        <v>意味・判断根拠</v>
      </c>
      <c r="D17" s="19" t="str">
        <v>設定・運用への反映</v>
      </c>
      <c r="E17" s="19" t="str">
        <v>根拠</v>
      </c>
    </row>
    <row r="18" ht="40" customHeight="1">
      <c r="B18" s="20" t="str">
        <v>第一候補</v>
      </c>
      <c r="C18" s="7" t="str">
        <v>AWS VPC内のJMeterから、GetClientTokenとPrivate REST APIをそれぞれのVPCEで直接呼ぶ。</v>
      </c>
      <c r="D18" s="7" t="str">
        <v>本番とは別の検証用M2Mクライアント、最小スコープ、少数スレッドから開始する。</v>
      </c>
      <c r="E18" s="7" t="str">
        <v>設計提案</v>
      </c>
    </row>
    <row r="19" ht="40" customHeight="1">
      <c r="B19" s="22" t="str">
        <v>既存環境を保つ移行</v>
      </c>
      <c r="C19" s="21" t="str">
        <v>既存OAuth用プールは継続し、閉域M2M専用プールを新設する案を優先する。</v>
      </c>
      <c r="D19" s="21" t="str">
        <v>APIの既存Cognitoオーソライザーに新プールを追加できるか確認。必要なら検証用API／メソッドから移行する。</v>
      </c>
      <c r="E19" s="21" t="str">
        <v>設計提案 S10</v>
      </c>
    </row>
    <row r="20" ht="40" customHeight="1">
      <c r="B20" s="20" t="str">
        <v>既存プールを再利用する案</v>
      </c>
      <c r="C20" s="7" t="str">
        <v>ドメインが不要な専用プールなら候補。ドメインありプールは公式資料に不整合があるため、現状維持のまま閉域化できると断言しない。</v>
      </c>
      <c r="D20" s="7" t="str">
        <v>実トークン発行をVPCE経由で検証し、必要ならAWS Supportにドメイン共存条件を確認する。既存ドメインを無断削除しない。</v>
      </c>
      <c r="E20" s="7" t="str">
        <v>S03</v>
      </c>
    </row>
    <row r="21" ht="40" customHeight="1">
      <c r="B21" s="22" t="str">
        <v>完了とみなす条件</v>
      </c>
      <c r="C21" s="21" t="str">
        <v>インターネット出口遮断下でトークン取得とAPI呼出が成功し、失敗すべき認可・経路が拒否されること。</v>
      </c>
      <c r="D21" s="21" t="str">
        <v>DNS・ルート・Flow Logs・APIログ・Salesforce接続設定を証跡として保存する。</v>
      </c>
      <c r="E21" s="21" t="str">
        <v>設計提案</v>
      </c>
    </row>
  </sheetData>
  <pageMargins left="0.25" right="0.25" top="0.35" bottom="0.35" header="0.15" footer="0.15"/>
  <pageSetup paperSize="8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30" hidden="0" customWidth="1"/>
    <col min="3" max="3" width="72" hidden="0" customWidth="1"/>
    <col min="4" max="4" width="61" hidden="0" customWidth="1"/>
    <col min="5" max="5" width="18" hidden="0" customWidth="1"/>
    <col min="6" max="6" width="3" hidden="0" customWidth="1"/>
  </cols>
  <sheetData>
    <row r="2" ht="30" customHeight="1">
      <c r="B2" s="2" t="str">
        <v>01 基礎と歴史</v>
      </c>
    </row>
    <row r="3" ht="23" customHeight="1">
      <c r="B3" s="3"/>
      <c r="C3" s="4" t="str">
        <v>調査基準日：2026-10-18</v>
      </c>
      <c r="D3" s="3"/>
      <c r="E3" s="3"/>
    </row>
    <row r="4" ht="53" customHeight="1">
      <c r="C4" s="7" t="str">
        <v>たとえると、Cognitoは入場券を出す受付、アクセストークンは期限付き入場券、API Gatewayは券を調べる門、VPCEは建物内の専用通路。券をもらう道と、券を使って門へ行く道は別である。</v>
      </c>
    </row>
    <row r="6" ht="25" customHeight="1">
      <c r="B6" s="13" t="str">
        <v>ことばを身近な例で理解する</v>
      </c>
      <c r="C6" s="14"/>
      <c r="D6" s="14"/>
      <c r="E6" s="14"/>
    </row>
    <row r="7" ht="28" customHeight="1">
      <c r="B7" s="19" t="str">
        <v>項目</v>
      </c>
      <c r="C7" s="19" t="str">
        <v>意味・判断根拠</v>
      </c>
      <c r="D7" s="19" t="str">
        <v>設定・運用への反映</v>
      </c>
      <c r="E7" s="19" t="str">
        <v>根拠</v>
      </c>
    </row>
    <row r="8" ht="40" customHeight="1">
      <c r="B8" s="20" t="str">
        <v>M2M</v>
      </c>
      <c r="C8" s="7" t="str">
        <v>機械と機械のやり取り。人が毎回ログインせず、プログラム自身の身分で利用する。</v>
      </c>
      <c r="D8" s="7" t="str">
        <v>Salesforce連携・定期バッチ・JMeter等。人間のユーザー名／パスワードに置き換えて解決しない。</v>
      </c>
      <c r="E8" s="7" t="str">
        <v>S04</v>
      </c>
    </row>
    <row r="9" ht="40" customHeight="1">
      <c r="B9" s="22" t="str">
        <v>Client ID</v>
      </c>
      <c r="C9" s="21" t="str">
        <v>機械につけた受付番号。番号だけでは入場券をもらえない。</v>
      </c>
      <c r="D9" s="21" t="str">
        <v>環境・用途ごとに分ける。単なるIDなので、client secretと区別する。</v>
      </c>
      <c r="E9" s="21" t="str">
        <v>S02</v>
      </c>
    </row>
    <row r="10" ht="40" customHeight="1">
      <c r="B10" s="20" t="str">
        <v>Client secret</v>
      </c>
      <c r="C10" s="7" t="str">
        <v>機械だけが持つ合言葉。盗まれると機械になりすまされる。</v>
      </c>
      <c r="D10" s="7" t="str">
        <v>Secrets Manager等で管理。ソース・Excel・JMX・コマンド履歴へ実値を埋め込まない。</v>
      </c>
      <c r="E10" s="7" t="str">
        <v>S02 S22</v>
      </c>
    </row>
    <row r="11" ht="40" customHeight="1">
      <c r="B11" s="22" t="str">
        <v>Access token</v>
      </c>
      <c r="C11" s="21" t="str">
        <v>APIでできることと有効期限が書かれた署名付きの券。JWTという形式を使う。</v>
      </c>
      <c r="D11" s="21" t="str">
        <v>M2Mはaccess tokenだけ。ID tokenやrefresh tokenを期待しない。</v>
      </c>
      <c r="E11" s="21" t="str">
        <v>S04 S06 S14</v>
      </c>
    </row>
    <row r="12" ht="37" customHeight="1">
      <c r="B12" s="20" t="str">
        <v>Bearer</v>
      </c>
      <c r="C12" s="7" t="str">
        <v>券を持っている人が使える方式。本人の別の合言葉は毎回必要ない。</v>
      </c>
      <c r="D12" s="7" t="str">
        <v>Authorization: Bearer &lt;token&gt;。券そのものを秘密として扱う。</v>
      </c>
      <c r="E12" s="7" t="str">
        <v>S02 S15</v>
      </c>
    </row>
    <row r="13" ht="40" customHeight="1">
      <c r="B13" s="22" t="str">
        <v>Scope</v>
      </c>
      <c r="C13" s="21" t="str">
        <v>入れる部屋を決める券の印。例：orders/readなら注文を読む権利。</v>
      </c>
      <c r="D13" s="21" t="str">
        <v>APIの要求スコープ、クライアントの許可スコープ、トークン内scopeを一致させる。</v>
      </c>
      <c r="E13" s="21" t="str">
        <v>S04 S10</v>
      </c>
    </row>
    <row r="14" ht="40" customHeight="1">
      <c r="B14" s="20" t="str">
        <v>JWTの署名</v>
      </c>
      <c r="C14" s="7" t="str">
        <v>受付の本物の印鑑にあたる。中身の文字を読めることと、本物と確かめられることは別。</v>
      </c>
      <c r="D14" s="7" t="str">
        <v>署名・issuer・期限・token_use・scope等を検証する。Base64デコードだけで信用しない。</v>
      </c>
      <c r="E14" s="7" t="str">
        <v>S15</v>
      </c>
    </row>
    <row r="15" ht="37" customHeight="1">
      <c r="B15" s="22" t="str">
        <v>User Pool</v>
      </c>
      <c r="C15" s="21" t="str">
        <v>Cognitoの受付所と台帳。M2Mでも設定の入れ物として使う。</v>
      </c>
      <c r="D15" s="21" t="str">
        <v>M2Mに架空の人間ユーザーを作る必要はない。</v>
      </c>
      <c r="E15" s="21" t="str">
        <v>S02 S04</v>
      </c>
    </row>
    <row r="16" ht="40" customHeight="1">
      <c r="B16" s="20" t="str">
        <v>Identity Pool</v>
      </c>
      <c r="C16" s="7" t="str">
        <v>身分証と引き換えに一時的AWS認証情報を渡す別の仕組み。</v>
      </c>
      <c r="D16" s="7" t="str">
        <v>今回のCognito JWT取得はUser Pools。cognito-identity用VPCEを代わりに作らない。</v>
      </c>
      <c r="E16" s="7" t="str">
        <v>S03</v>
      </c>
    </row>
    <row r="17" ht="40" customHeight="1">
      <c r="B17" s="22" t="str">
        <v>AWS IAM認証情報</v>
      </c>
      <c r="C17" s="21" t="str">
        <v>AWSの管理作業等の権限を示す別の鍵。JWTとは形式も用途も違う。</v>
      </c>
      <c r="D17" s="21" t="str">
        <v>GetClientToken自体はclient secretで認証。設定作成・Secrets Manager取得などはIAMが別途必要。</v>
      </c>
      <c r="E17" s="21" t="str">
        <v>S02 S22 S35</v>
      </c>
    </row>
    <row r="18" ht="40" customHeight="1">
      <c r="B18" s="20" t="str">
        <v>SDK／CLI／HTTP</v>
      </c>
      <c r="C18" s="7" t="str">
        <v>受付への伝言を作る道具。SDKはプログラム、CLIはコマンド、HTTPは通信の約束。</v>
      </c>
      <c r="D18" s="7" t="str">
        <v>道具を替えるだけでは通路は変わらない。入口とネットワークの両方を選ぶ。</v>
      </c>
      <c r="E18" s="7" t="str">
        <v>S01 S20</v>
      </c>
    </row>
    <row r="19" ht="40" customHeight="1">
      <c r="B19" s="22" t="str">
        <v>DNS</v>
      </c>
      <c r="C19" s="21" t="str">
        <v>建物の名前から住所を調べる案内係。</v>
      </c>
      <c r="D19" s="21" t="str">
        <v>amazonaws.comという名前でもprivate DNSによりVPCEのプライベートIPを返せる。名前の見た目だけで公開経路と決めない。</v>
      </c>
      <c r="E19" s="21" t="str">
        <v>S20 S21</v>
      </c>
    </row>
    <row r="20" ht="40" customHeight="1">
      <c r="B20" s="20" t="str">
        <v>VPCE／PrivateLink</v>
      </c>
      <c r="C20" s="7" t="str">
        <v>VPC内にAWSサービスへの専用入口を設ける仕組み。</v>
      </c>
      <c r="D20" s="7" t="str">
        <v>cognito-idpとexecute-apiを使い分ける。Interface型のENI・SG・AZを確認する。</v>
      </c>
      <c r="E20" s="7" t="str">
        <v>S03 S07 S20</v>
      </c>
    </row>
    <row r="21" ht="40" customHeight="1">
      <c r="B21" s="22" t="str">
        <v>NAT／IGW</v>
      </c>
      <c r="C21" s="21" t="str">
        <v>VPCから外の公開入口へ出るための経路を構成する装置。</v>
      </c>
      <c r="D21" s="21" t="str">
        <v>NATを使う公開AWSサービス接続は、今回の「公開入口も使わない」要件と分けて評価する。</v>
      </c>
      <c r="E21" s="21" t="str">
        <v>S20</v>
      </c>
    </row>
    <row r="22" ht="40" customHeight="1">
      <c r="B22" s="20" t="str">
        <v>公衆網なしの意味</v>
      </c>
      <c r="C22" s="7" t="str">
        <v>この資料では、対象リクエストが公開サービス入口・インターネット出口・インターネットVPNへ依存しないこと。</v>
      </c>
      <c r="D22" s="7" t="str">
        <v>AWS網内を通る公開AWSエンドポイント通信もあり得るが、それをPrivateLinkと同一扱いにしない。</v>
      </c>
      <c r="E22" s="7" t="str">
        <v>S20 S23</v>
      </c>
    </row>
    <row r="23" ht="40" customHeight="1">
      <c r="B23" s="22" t="str">
        <v>閉域と非公開化</v>
      </c>
      <c r="C23" s="21" t="str">
        <v>自分たちの通信が専用通路を使うことと、受付が外から絶対に使えないことは別。</v>
      </c>
      <c r="D23" s="21" t="str">
        <v>VPCE作成だけでCognitoの公開APIは消えない。必要なら対象アクションに絞ったRCP等も検討する。</v>
      </c>
      <c r="E23" s="21" t="str">
        <v>S03</v>
      </c>
    </row>
    <row r="24" ht="40" customHeight="1">
      <c r="B24" s="20" t="str">
        <v>VPNとDirect Connect</v>
      </c>
      <c r="C24" s="7" t="str">
        <v>普通のインターネットVPNは公道の中を暗号化して走る。Direct Connectは専用の接続を使う。</v>
      </c>
      <c r="D24" s="7" t="str">
        <v>オンプレ実行機も含め公衆網ゼロなら、閉域回線の実契約・バックアップ経路まで確認。VPNという名前だけで判断しない。</v>
      </c>
      <c r="E24" s="7" t="str">
        <v>S23</v>
      </c>
    </row>
    <row r="25" ht="40" customHeight="1">
      <c r="B25" s="22" t="str">
        <v>JMeter</v>
      </c>
      <c r="C25" s="21" t="str">
        <v>大勢のお客さんが同時に来る様子を再現する試験道具。</v>
      </c>
      <c r="D25" s="21" t="str">
        <v>API性能試験と券を発行する受付の試験を分ける。毎回券を取り直すと別の試験になる。</v>
      </c>
      <c r="E25" s="21" t="str">
        <v>S28 S29 設計提案</v>
      </c>
    </row>
    <row r="27" ht="25" customHeight="1">
      <c r="B27" s="13" t="str">
        <v>何がいつ登場し、なぜ必要になったか</v>
      </c>
      <c r="C27" s="14"/>
      <c r="D27" s="14"/>
      <c r="E27" s="14"/>
    </row>
    <row r="28" ht="28" customHeight="1">
      <c r="B28" s="19" t="str">
        <v>項目</v>
      </c>
      <c r="C28" s="19" t="str">
        <v>意味・判断根拠</v>
      </c>
      <c r="D28" s="19" t="str">
        <v>設定・運用への反映</v>
      </c>
      <c r="E28" s="19" t="str">
        <v>根拠</v>
      </c>
    </row>
    <row r="29" ht="40" customHeight="1">
      <c r="B29" s="20" t="str">
        <v>2012-10：OAuth 2.0</v>
      </c>
      <c r="C29" s="7" t="str">
        <v>RFC 6749でClient Credentialsを含む枠組みを標準化。機械自身が権限を得る方法を整理した。</v>
      </c>
      <c r="D29" s="7" t="str">
        <v>機械の合言葉を業務APIへ毎回渡す代わりに、期限付きトークンで権限を伝える。</v>
      </c>
      <c r="E29" s="7" t="str">
        <v>S31</v>
      </c>
    </row>
    <row r="30" ht="40" customHeight="1">
      <c r="B30" s="22" t="str">
        <v>2014-07-10：Cognitoの登場</v>
      </c>
      <c r="C30" s="21" t="str">
        <v>モバイルアプリの利用者認証やデータ同期を簡単にするサービスとして登場。複数の外部IDプロバイダーやゲスト利用に対応した。</v>
      </c>
      <c r="D30" s="21" t="str">
        <v>当初から現在のM2M発行APIが存在したわけではない。Identity PoolsとUser Poolsを区別する背景にもなる。</v>
      </c>
      <c r="E30" s="21" t="str">
        <v>S39</v>
      </c>
    </row>
    <row r="31" ht="40" customHeight="1">
      <c r="B31" s="20" t="str">
        <v>2016-07-28：User Pools正式提供</v>
      </c>
      <c r="C31" s="7" t="str">
        <v>アプリ向けの利用者台帳、サインアップ、サインインを管理サービスとして提供。API Gatewayとの連携も加わった。</v>
      </c>
      <c r="D31" s="7" t="str">
        <v>ユーザー管理や認証基盤を各アプリで一から作る負担を減らした。後のOAuth／M2Mの設定もこのUser Poolを使う。</v>
      </c>
      <c r="E31" s="7" t="str">
        <v>S40</v>
      </c>
    </row>
    <row r="32" ht="40" customHeight="1">
      <c r="B32" s="22" t="str">
        <v>2017-08-10：Cognito OAuth拡充</v>
      </c>
      <c r="C32" s="21" t="str">
        <v>Client Credentials、カスタムスコープ、リソースサーバーが提供された。</v>
      </c>
      <c r="D32" s="21" t="str">
        <v>機械に「注文を読む」などの細かな権限を与えられる。ただし取得先はドメインのOAuth入口だった。</v>
      </c>
      <c r="E32" s="21" t="str">
        <v>S32</v>
      </c>
    </row>
    <row r="33" ht="40" customHeight="1">
      <c r="B33" s="20" t="str">
        <v>2018-06-14：Private API</v>
      </c>
      <c r="C33" s="7" t="str">
        <v>API GatewayにPrivate Endpointが登場。業務APIそのものを公開せずに利用する要求へ対応した。</v>
      </c>
      <c r="D33" s="7" t="str">
        <v>APIが閉域化しても、トークン取得の経路は別に残る。このずれが今回の疑問の背景。</v>
      </c>
      <c r="E33" s="7" t="str">
        <v>S33</v>
      </c>
    </row>
    <row r="34" ht="40" customHeight="1">
      <c r="B34" s="22" t="str">
        <v>2024-02-29：Salesforce連携例</v>
      </c>
      <c r="C34" s="21" t="str">
        <v>AWSとSalesforceの公式構成例が、Private ConnectとPrivate APIの同期連携を紹介した。</v>
      </c>
      <c r="D34" s="21" t="str">
        <v>これは接続構成の例。記事の認証はIAM／STSを利用し、Cognito M2M閉域化の証拠と混同しない。</v>
      </c>
      <c r="E34" s="21" t="str">
        <v>S25</v>
      </c>
    </row>
    <row r="35" ht="40" customHeight="1">
      <c r="B35" s="20" t="str">
        <v>2025-11-07：Cognito PrivateLink</v>
      </c>
      <c r="C35" s="7" t="str">
        <v>User PoolsのSDK API等に閉域接続を追加。公開発表時点ではOAuth client credentialsは対象外だった。</v>
      </c>
      <c r="D35" s="7" t="str">
        <v>当時の「M2Mは閉域不可」という説明には時点依存の理由がある。</v>
      </c>
      <c r="E35" s="7" t="str">
        <v>S34</v>
      </c>
    </row>
    <row r="36" ht="40" customHeight="1">
      <c r="B36" s="22" t="str">
        <v>2026-08-31：GetClientToken</v>
      </c>
      <c r="C36" s="21" t="str">
        <v>ドメインなしでSDK・CLI・APIからM2M access tokenを取得する専用APIを追加し、PrivateLinkに対応した。</v>
      </c>
      <c r="D36" s="21" t="str">
        <v>この新しい入口を選ぶことで、券をもらう道も業務APIを呼ぶ道も閉域にそろえられる。</v>
      </c>
      <c r="E36" s="21" t="str">
        <v>S01</v>
      </c>
    </row>
    <row r="37" ht="40" customHeight="1">
      <c r="B37" s="20" t="str">
        <v>今回なぜ必要か（設計上の整理）</v>
      </c>
      <c r="C37" s="7" t="str">
        <v>業務APIだけ閉じても、認証だけ公開経路へ出ると、ネットワーク制約・監査・障害切分けが複雑になる。</v>
      </c>
      <c r="D37" s="7" t="str">
        <v>発行と利用を別々に設計して、両方を同じ閉域要件で検証する。これは本構成に対する考察であり、AWSの開発理由の断定ではない。</v>
      </c>
      <c r="E37" s="7" t="str">
        <v>設計提案</v>
      </c>
    </row>
  </sheetData>
  <pageMargins left="0.25" right="0.25" top="0.35" bottom="0.35" header="0.15" footer="0.15"/>
  <pageSetup paperSize="8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>
      <pane xSplit="2" ySplit="5" topLeftCell="C6" activePane="bottomRight" state="frozen"/>
    </sheetView>
  </sheetViews>
  <sheetFormatPr defaultRowHeight="15"/>
  <cols>
    <col min="1" max="1" width="3" hidden="0" customWidth="1"/>
    <col min="2" max="2" width="30" hidden="0" customWidth="1"/>
    <col min="3" max="3" width="72" hidden="0" customWidth="1"/>
    <col min="4" max="4" width="61" hidden="0" customWidth="1"/>
    <col min="5" max="5" width="18" hidden="0" customWidth="1"/>
    <col min="6" max="6" width="3" hidden="0" customWidth="1"/>
  </cols>
  <sheetData>
    <row r="2" ht="30" customHeight="1">
      <c r="B2" s="2" t="str">
        <v>02 構成と経路</v>
      </c>
    </row>
    <row r="3" ht="23" customHeight="1">
      <c r="B3" s="3"/>
      <c r="C3" s="4" t="str">
        <v>調査基準日：2026-10-18</v>
      </c>
      <c r="D3" s="3"/>
      <c r="E3" s="3"/>
    </row>
    <row r="4" ht="47" customHeight="1">
      <c r="C4" s="7" t="str">
        <v>以下は推奨案と想定構成。現行NLBの配置・ターゲット・TLS終端・Salesforce接続方式は未提示のため、現状図として断定しない。</v>
      </c>
    </row>
    <row r="6" ht="25" customHeight="1">
      <c r="B6" s="13" t="str">
        <v>構成A：AWS内JMeterから二つのVPCEを使う（第一候補）</v>
      </c>
      <c r="C6" s="14"/>
      <c r="D6" s="14"/>
      <c r="E6" s="14"/>
    </row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2" ht="25" customHeight="1">
      <c r="B22" s="13" t="str">
        <v>構成Aの経路を一つずつ確認</v>
      </c>
      <c r="C22" s="14"/>
      <c r="D22" s="14"/>
      <c r="E22" s="14"/>
    </row>
    <row r="23" ht="28" customHeight="1">
      <c r="B23" s="19" t="str">
        <v>項目</v>
      </c>
      <c r="C23" s="19" t="str">
        <v>意味・判断根拠</v>
      </c>
      <c r="D23" s="19" t="str">
        <v>設定・運用への反映</v>
      </c>
      <c r="E23" s="19" t="str">
        <v>根拠</v>
      </c>
    </row>
    <row r="24" ht="40" customHeight="1">
      <c r="B24" s="20" t="str">
        <v>発行経路</v>
      </c>
      <c r="C24" s="7" t="str">
        <v>JMeter → VPC DNS → cognito-idp VPCEのENI → GetClientToken。応答にJWTとExpiresIn。</v>
      </c>
      <c r="D24" s="7" t="str">
        <v>ユーザープールドメインを経由しない。通常のリージョンAPI名をprivate DNSで解決する。</v>
      </c>
      <c r="E24" s="7" t="str">
        <v>S02 S03 S20</v>
      </c>
    </row>
    <row r="25" ht="40" customHeight="1">
      <c r="B25" s="22" t="str">
        <v>API経路</v>
      </c>
      <c r="C25" s="21" t="str">
        <v>JMeter → execute-api VPCE → Private REST API → バックエンド。</v>
      </c>
      <c r="D25" s="21" t="str">
        <v>同じトークンを期限内で再利用し、対象メソッドでscopeを確認する。</v>
      </c>
      <c r="E25" s="21" t="str">
        <v>S07 S10</v>
      </c>
    </row>
    <row r="26" ht="40" customHeight="1">
      <c r="B26" s="20" t="str">
        <v>バックエンド経路</v>
      </c>
      <c r="C26" s="7" t="str">
        <v>API Gateway → Lambda等。VPC Linkを使う場合は別の後段接続がある。</v>
      </c>
      <c r="D26" s="7" t="str">
        <v>Private API入口と、API GatewayからNLB等へのprivate integrationを混同しない。後段の外部通信も監査範囲なら別途確認。</v>
      </c>
      <c r="E26" s="7" t="str">
        <v>S33</v>
      </c>
    </row>
    <row r="27" ht="40" customHeight="1">
      <c r="B27" s="22" t="str">
        <v>NLBの必要性</v>
      </c>
      <c r="C27" s="21" t="str">
        <v>同じVPC内のJMeterからexecute-api VPCEへ直接行けるなら、入口用NLBは必須ではない。</v>
      </c>
      <c r="D27" s="21" t="str">
        <v>NLBを含むSalesforce相当の経路を測りたいときだけ、その経路を通る試験を追加する。</v>
      </c>
      <c r="E27" s="21" t="str">
        <v>設計提案</v>
      </c>
    </row>
    <row r="29" ht="25" customHeight="1">
      <c r="B29" s="13" t="str">
        <v>構成B：Salesforce側のNLB経路を想定した業務API接続</v>
      </c>
      <c r="C29" s="14"/>
      <c r="D29" s="14"/>
      <c r="E29" s="14"/>
    </row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5" ht="25" customHeight="1">
      <c r="B45" s="13" t="str">
        <v>構成Bで見落としやすい点</v>
      </c>
      <c r="C45" s="14"/>
      <c r="D45" s="14"/>
      <c r="E45" s="14"/>
    </row>
    <row r="46" ht="28" customHeight="1">
      <c r="B46" s="19" t="str">
        <v>項目</v>
      </c>
      <c r="C46" s="19" t="str">
        <v>意味・判断根拠</v>
      </c>
      <c r="D46" s="19" t="str">
        <v>設定・運用への反映</v>
      </c>
      <c r="E46" s="19" t="str">
        <v>根拠</v>
      </c>
    </row>
    <row r="47" ht="40" customHeight="1">
      <c r="B47" s="20" t="str">
        <v>二種類のVPCE</v>
      </c>
      <c r="C47" s="7" t="str">
        <v>Salesforceが利用者のEndpoint ServiceにつなぐVPCEと、AWS側のexecute-api VPCEは役割が違う。</v>
      </c>
      <c r="D47" s="7" t="str">
        <v>「VPCE経由」とだけ記録せず、所有者・サービス名・ID・VPC・SGを記録する。</v>
      </c>
      <c r="E47" s="7" t="str">
        <v>S25 S26</v>
      </c>
    </row>
    <row r="48" ht="40" customHeight="1">
      <c r="B48" s="22" t="str">
        <v>NLBの転送</v>
      </c>
      <c r="C48" s="21" t="str">
        <v>NLBはトークン取得リクエストを自動でCognitoへ分岐したり、フォームからJSONへ変換したりしない。</v>
      </c>
      <c r="D48" s="21" t="str">
        <v>L4の単純転送ならTLSのSNIとHTTP Hostが送り先に合う必要がある。HTTP Hostだけを書き換えて解決としない。</v>
      </c>
      <c r="E48" s="21" t="str">
        <v>設計提案 S08</v>
      </c>
    </row>
    <row r="49" ht="40" customHeight="1">
      <c r="B49" s="20" t="str">
        <v>JMeter試験の代表性</v>
      </c>
      <c r="C49" s="7" t="str">
        <v>VPC内からの直接呼出はSalesforce管理網・Private Connect・NLBの負荷や遅延を含まない。</v>
      </c>
      <c r="D49" s="7" t="str">
        <v>①API単体の閉域性能と、②Salesforce相当の入口経路の性能を別結果で示す。Salesforce内部処理時間はJMeterだけで再現できない。</v>
      </c>
      <c r="E49" s="7" t="str">
        <v>設計提案</v>
      </c>
    </row>
    <row r="50" ht="40" customHeight="1">
      <c r="B50" s="22" t="str">
        <v>トークン取得の独立性</v>
      </c>
      <c r="C50" s="21" t="str">
        <v>APIのNamed CredentialだけがPrivate Connectを使っても、OAuthサーバーへの通信まで同じ経路になる保証はない。</v>
      </c>
      <c r="D50" s="21" t="str">
        <v>認証用コールアウト先・リダイレクト先・Named／External Credentialの適用範囲を実測する。</v>
      </c>
      <c r="E50" s="21" t="str">
        <v>S02 S25 S26</v>
      </c>
    </row>
    <row r="51" ht="55" customHeight="1">
      <c r="B51" s="20" t="str">
        <v>NLBのIPターゲット</v>
      </c>
      <c r="C51" s="7" t="str">
        <v>NLBからexecute-api VPCEのENI IPへ転送する方式なら、対象ENIとターゲットの対応管理が必要になる。</v>
      </c>
      <c r="D51" s="7" t="str">
        <v>VPCE再作成・サブネット変更等でのターゲット更新とAZ障害を試験。Cognitoの公開ドメインのIPを固定登録して閉域化したことにしない。</v>
      </c>
      <c r="E51" s="7" t="str">
        <v>設計提案 S21</v>
      </c>
    </row>
    <row r="52" ht="40" customHeight="1">
      <c r="B52" s="22" t="str">
        <v>NLBヘルスチェック</v>
      </c>
      <c r="C52" s="21" t="str">
        <v>認可が必要なPrivate APIへのHTTPチェックは、Hostや認可が足りず401／403となる場合がある。</v>
      </c>
      <c r="D52" s="21" t="str">
        <v>健全性の確認方法を設計する。TCP成功は認可成功を意味しない。ヘルスチェックのために業務APIの認可を広く解除しない。</v>
      </c>
      <c r="E52" s="21" t="str">
        <v>設計提案</v>
      </c>
    </row>
    <row r="54" ht="25" customHeight="1">
      <c r="B54" s="13" t="str">
        <v>構成C：SalesforceにAWS JSON形式を直接扱わせにくい場合の案</v>
      </c>
      <c r="C54" s="14"/>
      <c r="D54" s="14"/>
      <c r="E54" s="14"/>
    </row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70" ht="25" customHeight="1">
      <c r="B70" s="13" t="str">
        <v>ブローカー案の成立条件</v>
      </c>
      <c r="C70" s="14"/>
      <c r="D70" s="14"/>
      <c r="E70" s="14"/>
    </row>
    <row r="71" ht="28" customHeight="1">
      <c r="B71" s="19" t="str">
        <v>項目</v>
      </c>
      <c r="C71" s="19" t="str">
        <v>意味・判断根拠</v>
      </c>
      <c r="D71" s="19" t="str">
        <v>設定・運用への反映</v>
      </c>
      <c r="E71" s="19" t="str">
        <v>根拠</v>
      </c>
    </row>
    <row r="72" ht="40" customHeight="1">
      <c r="B72" s="20" t="str">
        <v>用途</v>
      </c>
      <c r="C72" s="7" t="str">
        <v>Salesforce標準OAuth機能でGetClientTokenのAWS JSON形式を扱えない場合に、内部サービスで変換する設計案。</v>
      </c>
      <c r="D72" s="7" t="str">
        <v>標準OAuth互換のフォーム入力／応答を出すなら、CognitoそのもののOAuthエンドポイントとは別サービスだと明記する。</v>
      </c>
      <c r="E72" s="7" t="str">
        <v>設計提案</v>
      </c>
    </row>
    <row r="73" ht="40" customHeight="1">
      <c r="B73" s="22" t="str">
        <v>入口の認証</v>
      </c>
      <c r="C73" s="21" t="str">
        <v>券を発行する窓口が無認証だと、閉域内の誰でもCognitoの券を取得できる。</v>
      </c>
      <c r="D73" s="21" t="str">
        <v>mTLS・専用クライアント認証・接続元制約等を設計。業務API用JWTそのものを必須にすると初回取得が循環する。</v>
      </c>
      <c r="E73" s="21" t="str">
        <v>設計提案</v>
      </c>
    </row>
    <row r="74" ht="40" customHeight="1">
      <c r="B74" s="20" t="str">
        <v>秘密とスコープ</v>
      </c>
      <c r="C74" s="7" t="str">
        <v>Cognitoのsecretはブローカー内で管理する。外部入力のclient_id／scope／宛先URLを無制限に信用しない。</v>
      </c>
      <c r="D74" s="7" t="str">
        <v>呼出元ごとに許可クライアントとscopeを固定。TLSを維持し、トークンをログへ出さない。</v>
      </c>
      <c r="E74" s="7" t="str">
        <v>設計提案</v>
      </c>
    </row>
    <row r="75" ht="40" customHeight="1">
      <c r="B75" s="22" t="str">
        <v>キャッシュと運用負担</v>
      </c>
      <c r="C75" s="21" t="str">
        <v>共有キャッシュは発行回数を減らすが、secret・tokenを扱う新しい重要コンポーネントになる。</v>
      </c>
      <c r="D75" s="21" t="str">
        <v>冗長化、更新の排他、キャッシュ分離、レート制限、監査、秘密の更新を用意。直接GetClientTokenを使える場合は追加しない。</v>
      </c>
      <c r="E75" s="21" t="str">
        <v>設計提案</v>
      </c>
    </row>
    <row r="77" ht="25" customHeight="1">
      <c r="B77" s="13" t="str">
        <v>閉域で必要になる周辺接続</v>
      </c>
      <c r="C77" s="14"/>
      <c r="D77" s="14"/>
      <c r="E77" s="14"/>
    </row>
    <row r="78" ht="28" customHeight="1">
      <c r="B78" s="19" t="str">
        <v>項目</v>
      </c>
      <c r="C78" s="19" t="str">
        <v>意味・判断根拠</v>
      </c>
      <c r="D78" s="19" t="str">
        <v>設定・運用への反映</v>
      </c>
      <c r="E78" s="19" t="str">
        <v>根拠</v>
      </c>
    </row>
    <row r="79" ht="37" customHeight="1">
      <c r="B79" s="20" t="str">
        <v>必須：cognito-idp</v>
      </c>
      <c r="C79" s="7" t="str">
        <v>com.amazonaws.ap-northeast-1.cognito-idp（東京の例）</v>
      </c>
      <c r="D79" s="7" t="str">
        <v>Interface VPCE。Private DNS、複数AZ、SGの443を検証する。</v>
      </c>
      <c r="E79" s="7" t="str">
        <v>S03</v>
      </c>
    </row>
    <row r="80" ht="40" customHeight="1">
      <c r="B80" s="22" t="str">
        <v>必須：execute-api</v>
      </c>
      <c r="C80" s="21" t="str">
        <v>com.amazonaws.ap-northeast-1.execute-api（東京の例）</v>
      </c>
      <c r="D80" s="21" t="str">
        <v>Private REST APIを利用。HTTP API用JWTオーソライザーとは別の製品・設定。</v>
      </c>
      <c r="E80" s="21" t="str">
        <v>S07</v>
      </c>
    </row>
    <row r="81" ht="40" customHeight="1">
      <c r="B81" s="20" t="str">
        <v>条件付き：Secrets Manager</v>
      </c>
      <c r="C81" s="7" t="str">
        <v>シークレットを実行時に取得する場合。</v>
      </c>
      <c r="D81" s="7" t="str">
        <v>secretsmanager用VPCEと実行ロールのGetSecretValue権限。署名付き管理APIであり、GetClientTokenの無署名呼出と区別する。</v>
      </c>
      <c r="E81" s="7" t="str">
        <v>S22</v>
      </c>
    </row>
    <row r="82" ht="40" customHeight="1">
      <c r="B82" s="22" t="str">
        <v>条件付き：STS／SSM／Logs／S3等</v>
      </c>
      <c r="C82" s="21" t="str">
        <v>AssumeRole、SSM管理、ログ送信、配布物取得などを行う場合。</v>
      </c>
      <c r="D82" s="21" t="str">
        <v>利用する機能に対応した閉域経路を追加。全サービスを推測で追加せず、実際の通信依存を棚卸しする。</v>
      </c>
      <c r="E82" s="21" t="str">
        <v>設計提案</v>
      </c>
    </row>
    <row r="83" ht="40" customHeight="1">
      <c r="B83" s="20" t="str">
        <v>条件付き：JWKS／OIDC</v>
      </c>
      <c r="C83" s="7" t="str">
        <v>自作Lambda／アプリがJWT検証のため公開鍵を取得する場合。</v>
      </c>
      <c r="D83" s="7" t="str">
        <v>GetClientTokenのPrivateLink対応だけからJWKSの閉域取得まで断定しない。初回取得・未知kid・鍵更新時の経路を個別検証する。</v>
      </c>
      <c r="E83" s="7" t="str">
        <v>S15 S38</v>
      </c>
    </row>
    <row r="84" ht="40" customHeight="1">
      <c r="B84" s="22" t="str">
        <v>条件付き：オンプレDNSと回線</v>
      </c>
      <c r="C84" s="21" t="str">
        <v>実行機がAWS外にある場合。</v>
      </c>
      <c r="D84" s="21" t="str">
        <v>Direct Connect等の実経路とResolver inboundを確認。通常のインターネットVPNは公衆網ゼロの条件を満たさない。</v>
      </c>
      <c r="E84" s="21" t="str">
        <v>S23 S24</v>
      </c>
    </row>
    <row r="85" ht="40" customHeight="1">
      <c r="B85" s="20" t="str">
        <v>条件付き：パッケージ・時刻・証明書</v>
      </c>
      <c r="C85" s="7" t="str">
        <v>CLI／JDK／JMeter／SDKの配布、NTP、CA更新、証明書失効確認など。</v>
      </c>
      <c r="D85" s="7" t="str">
        <v>実行時通信の境界を明示。閉域配布／社内ミラーを準備し、試験時に外へ取得しない。</v>
      </c>
      <c r="E85" s="7" t="str">
        <v>設計提案</v>
      </c>
    </row>
  </sheetData>
  <pageMargins left="0.25" right="0.25" top="0.35" bottom="0.35" header="0.15" footer="0.15"/>
  <pageSetup paperSize="8" orientation="landscape" fitToWidth="1" fitToHeight="0"/>
  <drawing r:id="Rd72cb9da534b4a6b"/>
</worksheet>
</file>

<file path=xl/worksheets/sheet4.xml><?xml version="1.0" encoding="utf-8"?>
<worksheet xmlns="http://schemas.openxmlformats.org/spreadsheetml/2006/main">
  <sheetPr>
    <pageSetUpPr fitToPage="1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30" hidden="0" customWidth="1"/>
    <col min="3" max="3" width="72" hidden="0" customWidth="1"/>
    <col min="4" max="4" width="61" hidden="0" customWidth="1"/>
    <col min="5" max="5" width="18" hidden="0" customWidth="1"/>
    <col min="6" max="6" width="3" hidden="0" customWidth="1"/>
  </cols>
  <sheetData>
    <row r="2" ht="30" customHeight="1">
      <c r="B2" s="2" t="str">
        <v>03 設定と移行</v>
      </c>
    </row>
    <row r="3" ht="23" customHeight="1">
      <c r="B3" s="3"/>
      <c r="C3" s="4" t="str">
        <v>調査基準日：2026-10-18</v>
      </c>
      <c r="D3" s="3"/>
      <c r="E3" s="3"/>
    </row>
    <row r="4" ht="53" customHeight="1">
      <c r="C4" s="7" t="str">
        <v>リージョンは未提示のためコードは東京 ap-northeast-1の例。ID・ARN・DNS・scopeは実環境の値へ置換する。以下の作成・更新コマンドは手順例であり、今回AWSへは実行していない。</v>
      </c>
    </row>
    <row r="6" ht="25" customHeight="1">
      <c r="B6" s="13" t="str">
        <v>実装前の確認順序</v>
      </c>
      <c r="C6" s="14"/>
      <c r="D6" s="14"/>
      <c r="E6" s="14"/>
    </row>
    <row r="7" ht="28" customHeight="1">
      <c r="B7" s="19" t="str">
        <v>項目</v>
      </c>
      <c r="C7" s="19" t="str">
        <v>意味・判断根拠</v>
      </c>
      <c r="D7" s="19" t="str">
        <v>設定・運用への反映</v>
      </c>
      <c r="E7" s="19" t="str">
        <v>根拠</v>
      </c>
    </row>
    <row r="8" ht="40" customHeight="1">
      <c r="B8" s="20" t="str">
        <v>1.現状を取得</v>
      </c>
      <c r="C8" s="7" t="str">
        <v>User Pool ID、ドメイン、IssuerConfiguration、App Client、認証フロー、許可scope、API authorizer、VPCEを確認する。</v>
      </c>
      <c r="D8" s="7" t="str">
        <v>describe系で確認する際もClientSecretを出力しないqueryを使う。最新CLIの対応確認を先に行う。</v>
      </c>
      <c r="E8" s="7" t="str">
        <v>S02 S05 S03</v>
      </c>
    </row>
    <row r="9" ht="55" customHeight="1">
      <c r="B9" s="22" t="str">
        <v>2.リージョンの対応</v>
      </c>
      <c r="C9" s="21" t="str">
        <v>GetClientTokenのモデル対応と、対象リージョン・プール構成での実行可否は別。</v>
      </c>
      <c r="D9" s="21" t="str">
        <v>describe-vpc-endpoint-servicesでcognito-idpの提供を確認。OperationNotEnabledExceptionならリージョン・複製先等を確認する。</v>
      </c>
      <c r="E9" s="21" t="str">
        <v>S02 S34</v>
      </c>
    </row>
    <row r="10" ht="40" customHeight="1">
      <c r="B10" s="20" t="str">
        <v>3.プールの方針</v>
      </c>
      <c r="C10" s="7" t="str">
        <v>閉域専用でドメインなしのプールを基準にする。既存のHosted UIやOAuth利用と分離する。</v>
      </c>
      <c r="D10" s="7" t="str">
        <v>既存ドメイン削除を移行の第一手にしない。新プールならissuer／JWKS／API信頼先も変わる。</v>
      </c>
      <c r="E10" s="7" t="str">
        <v>S03 S38 設計提案</v>
      </c>
    </row>
    <row r="11" ht="40" customHeight="1">
      <c r="B11" s="22" t="str">
        <v>4.リソースサーバー</v>
      </c>
      <c r="C11" s="21" t="str">
        <v>ordersという識別子とreadというscopeを定義し、orders/readとして使用する。</v>
      </c>
      <c r="D11" s="21" t="str">
        <v>scope識別子は実URLでなくてもよい。APIのメソッド設定との完全一致を確認する。</v>
      </c>
      <c r="E11" s="21" t="str">
        <v>S04 S10</v>
      </c>
    </row>
    <row r="12" ht="40" customHeight="1">
      <c r="B12" s="20" t="str">
        <v>5.専用クライアント</v>
      </c>
      <c r="C12" s="7" t="str">
        <v>secretを持ち、ExplicitAuthFlowsはALLOW_CLIENT_TOKEN_AUTHのみとする。ユーザー用認証フローと混在させない。</v>
      </c>
      <c r="D12" s="7" t="str">
        <v>従来のAllowedOAuthFlows=[client_credentials]だけではGetClientTokenの条件にならない。</v>
      </c>
      <c r="E12" s="7" t="str">
        <v>S02 S04</v>
      </c>
    </row>
    <row r="13" ht="40" customHeight="1">
      <c r="B13" s="22" t="str">
        <v>6.バージョンと設定文書</v>
      </c>
      <c r="C13" s="21" t="str">
        <v>新しいM2M専用ガイドS04には専用フローとscopeの作成例がある。汎用CreateUserPoolClient文書S35の一部は新フローに追いついていない。</v>
      </c>
      <c r="D13" s="21" t="str">
        <v>M2M専用ガイドを基準にし、対応CLIで設定結果を照合。エラー時に旧フローへ黙って置き換えない。</v>
      </c>
      <c r="E13" s="21" t="str">
        <v>S04 S35</v>
      </c>
    </row>
    <row r="14" ht="40" customHeight="1">
      <c r="B14" s="20" t="str">
        <v>7.トークンVPCE</v>
      </c>
      <c r="C14" s="7" t="str">
        <v>cognito-idp用Interface VPCEを用意。private DNSとVPCのDNS support／hostnamesを有効にする。</v>
      </c>
      <c r="D14" s="7" t="str">
        <v>SGは実行機のSG／必要CIDRから443のみ。複数AZを推奨。NACLの戻り通信も確認する。</v>
      </c>
      <c r="E14" s="7" t="str">
        <v>S03 S20 S21</v>
      </c>
    </row>
    <row r="15" ht="40" customHeight="1">
      <c r="B15" s="22" t="str">
        <v>8.API VPCEとポリシー</v>
      </c>
      <c r="C15" s="21" t="str">
        <v>execute-api用VPCE、APIのPrivate endpoint type、APIリソースポリシーを確認。</v>
      </c>
      <c r="D15" s="21" t="str">
        <v>BearerはVPCEポリシー上anonymousとして扱われる。PrincipalをIAMロールだけに絞ると誤拒否する。</v>
      </c>
      <c r="E15" s="21" t="str">
        <v>S07 S09 S11</v>
      </c>
    </row>
    <row r="16" ht="40" customHeight="1">
      <c r="B16" s="20" t="str">
        <v>9.Cognito認可</v>
      </c>
      <c r="C16" s="7" t="str">
        <v>REST APIのCOGNITO_USER_POOLS authorizerを選び、メソッドのAuthorization Scopesにorders/readを設定する。</v>
      </c>
      <c r="D16" s="7" t="str">
        <v>スコープ未設定だとID token扱いになる。M2MでID tokenを取りに行く方向へ修正しない。</v>
      </c>
      <c r="E16" s="7" t="str">
        <v>S10</v>
      </c>
    </row>
    <row r="17" ht="40" customHeight="1">
      <c r="B17" s="22" t="str">
        <v>10.反映と移行</v>
      </c>
      <c r="C17" s="21" t="str">
        <v>新しいpool/clientを信頼するauthorizer設定と、変更が必要なAPIデプロイを検証環境で適用する。</v>
      </c>
      <c r="D17" s="21" t="str">
        <v>既存scope・既存API利用の回帰確認。段階移行後に旧secret／旧経路を整理する。</v>
      </c>
      <c r="E17" s="21" t="str">
        <v>S10 設計提案</v>
      </c>
    </row>
    <row r="19" ht="25" customHeight="1">
      <c r="B19" s="13" t="str">
        <v>新規M2M用プール・クライアントのCLI設定例</v>
      </c>
      <c r="C19" s="14"/>
      <c r="D19" s="14"/>
      <c r="E19" s="14"/>
    </row>
    <row r="20" ht="28" customHeight="1">
      <c r="B20" s="19" t="str">
        <v>行／言語</v>
      </c>
      <c r="C20" s="19" t="str">
        <v>コード（折り返し表示）</v>
      </c>
      <c r="D20" s="19" t="str"/>
      <c r="E20" s="19" t="str"/>
    </row>
    <row r="21" ht="19" customHeight="1">
      <c r="B21" s="23" t="str">
        <v>1 / bash</v>
      </c>
      <c r="C21" s="7" t="str">
        <v># Linux/WSL表記の設定例。承認済み検証環境でのみ実行する。</v>
      </c>
      <c r="D21" s="7" t="str"/>
      <c r="E21" s="7" t="str"/>
    </row>
    <row r="22" ht="19" customHeight="1">
      <c r="B22" s="24" t="str">
        <v>2 / bash</v>
      </c>
      <c r="C22" s="21" t="str">
        <v># 既存ドメイン・既存クライアントを削除／更新しない新規構成。</v>
      </c>
      <c r="D22" s="21" t="str"/>
      <c r="E22" s="21" t="str"/>
    </row>
    <row r="23" ht="19" customHeight="1">
      <c r="B23" s="23" t="str">
        <v>3 / bash</v>
      </c>
      <c r="C23" s="7" t="str">
        <v>export AWS_REGION=ap-northeast-1</v>
      </c>
      <c r="D23" s="7" t="str"/>
      <c r="E23" s="7" t="str"/>
    </row>
    <row r="24" ht="19" customHeight="1">
      <c r="B24" s="24" t="str">
        <v>4 / bash</v>
      </c>
      <c r="C24" s="21" t="str">
        <v>POOL_ID=$(aws cognito-idp create-user-pool \</v>
      </c>
      <c r="D24" s="21" t="str"/>
      <c r="E24" s="21" t="str"/>
    </row>
    <row r="25" ht="19" customHeight="1">
      <c r="B25" s="23" t="str">
        <v>5 / bash</v>
      </c>
      <c r="C25" s="7" t="str">
        <v>  --pool-name private-m2m-poc --region "$AWS_REGION" \</v>
      </c>
      <c r="D25" s="7" t="str"/>
      <c r="E25" s="7" t="str"/>
    </row>
    <row r="26" ht="19" customHeight="1">
      <c r="B26" s="24" t="str">
        <v>6 / bash</v>
      </c>
      <c r="C26" s="21" t="str">
        <v>  --query UserPool.Id --output text)</v>
      </c>
      <c r="D26" s="21" t="str"/>
      <c r="E26" s="21" t="str"/>
    </row>
    <row r="27" ht="19" customHeight="1">
      <c r="B27" s="23" t="str">
        <v>7 / bash</v>
      </c>
      <c r="C27" s="7" t="str">
        <v>aws cognito-idp create-resource-server \</v>
      </c>
      <c r="D27" s="7" t="str"/>
      <c r="E27" s="7" t="str"/>
    </row>
    <row r="28" ht="19" customHeight="1">
      <c r="B28" s="24" t="str">
        <v>8 / bash</v>
      </c>
      <c r="C28" s="21" t="str">
        <v>  --user-pool-id "$POOL_ID" --identifier orders --name Orders \</v>
      </c>
      <c r="D28" s="21" t="str"/>
      <c r="E28" s="21" t="str"/>
    </row>
    <row r="29" ht="19" customHeight="1">
      <c r="B29" s="23" t="str">
        <v>9 / bash</v>
      </c>
      <c r="C29" s="7" t="str">
        <v>  --scopes ScopeName=read,ScopeDescription=ReadOrders \</v>
      </c>
      <c r="D29" s="7" t="str"/>
      <c r="E29" s="7" t="str"/>
    </row>
    <row r="30" ht="19" customHeight="1">
      <c r="B30" s="24" t="str">
        <v>10 / bash</v>
      </c>
      <c r="C30" s="21" t="str">
        <v>  --region "$AWS_REGION" --no-cli-pager</v>
      </c>
      <c r="D30" s="21" t="str"/>
      <c r="E30" s="21" t="str"/>
    </row>
    <row r="31" ht="19" customHeight="1">
      <c r="B31" s="23" t="str">
        <v>11 / bash</v>
      </c>
      <c r="C31" s="7" t="str">
        <v># S04のM2M専用設定例に従う。生成されたsecretを表示しない。</v>
      </c>
      <c r="D31" s="7" t="str"/>
      <c r="E31" s="7" t="str"/>
    </row>
    <row r="32" ht="19" customHeight="1">
      <c r="B32" s="24" t="str">
        <v>12 / bash</v>
      </c>
      <c r="C32" s="21" t="str">
        <v>aws cognito-idp create-user-pool-client \</v>
      </c>
      <c r="D32" s="21" t="str"/>
      <c r="E32" s="21" t="str"/>
    </row>
    <row r="33" ht="19" customHeight="1">
      <c r="B33" s="23" t="str">
        <v>13 / bash</v>
      </c>
      <c r="C33" s="7" t="str">
        <v>  --user-pool-id "$POOL_ID" --client-name private-jmeter \</v>
      </c>
      <c r="D33" s="7" t="str"/>
      <c r="E33" s="7" t="str"/>
    </row>
    <row r="34" ht="19" customHeight="1">
      <c r="B34" s="24" t="str">
        <v>14 / bash</v>
      </c>
      <c r="C34" s="21" t="str">
        <v>  --generate-secret --explicit-auth-flows ALLOW_CLIENT_TOKEN_AUTH \</v>
      </c>
      <c r="D34" s="21" t="str"/>
      <c r="E34" s="21" t="str"/>
    </row>
    <row r="35" ht="19" customHeight="1">
      <c r="B35" s="23" t="str">
        <v>15 / bash</v>
      </c>
      <c r="C35" s="7" t="str">
        <v>  --allowed-o-auth-scopes orders/read --region "$AWS_REGION" \</v>
      </c>
      <c r="D35" s="7" t="str"/>
      <c r="E35" s="7" t="str"/>
    </row>
    <row r="36" ht="33" customHeight="1">
      <c r="B36" s="24" t="str">
        <v>16 / bash</v>
      </c>
      <c r="C36" s="21" t="str">
        <v>  --query 'UserPoolClient.{ClientId:ClientId,Flows:ExplicitAuthFlows,Scopes:AllowedOAuthScopes}' \</v>
      </c>
      <c r="D36" s="21" t="str"/>
      <c r="E36" s="21" t="str"/>
    </row>
    <row r="37" ht="19" customHeight="1">
      <c r="B37" s="23" t="str">
        <v>17 / bash</v>
      </c>
      <c r="C37" s="7" t="str">
        <v>  --output json --no-cli-pager</v>
      </c>
      <c r="D37" s="7" t="str"/>
      <c r="E37" s="7" t="str"/>
    </row>
    <row r="38" ht="19" customHeight="1">
      <c r="B38" s="24" t="str">
        <v>18 / bash</v>
      </c>
      <c r="C38" s="21" t="str">
        <v># secretの安全な取得・登録はSecrets Manager等の既存手順で行う。</v>
      </c>
      <c r="D38" s="21" t="str"/>
      <c r="E38" s="21" t="str"/>
    </row>
    <row r="40" ht="25" customHeight="1">
      <c r="B40" s="13" t="str">
        <v>ポリシー例の読み方</v>
      </c>
      <c r="C40" s="14"/>
      <c r="D40" s="14"/>
      <c r="E40" s="14"/>
    </row>
    <row r="41" ht="28" customHeight="1">
      <c r="B41" s="19" t="str">
        <v>項目</v>
      </c>
      <c r="C41" s="19" t="str">
        <v>意味・判断根拠</v>
      </c>
      <c r="D41" s="19" t="str">
        <v>設定・運用への反映</v>
      </c>
      <c r="E41" s="19" t="str">
        <v>根拠</v>
      </c>
    </row>
    <row r="42" ht="40" customHeight="1">
      <c r="B42" s="20" t="str">
        <v>Cognito VPCE</v>
      </c>
      <c r="C42" s="7" t="str">
        <v>次のJSONはGetClientTokenだけを、対象プールのARNに限定する設計例。</v>
      </c>
      <c r="D42" s="7" t="str">
        <v>匿名扱いのためPrincipalは*。client secretによる認証は別途必須。新アクションのresource適用は実VPCEで正負試験する。</v>
      </c>
      <c r="E42" s="7" t="str">
        <v>S02 S03 設計提案</v>
      </c>
    </row>
    <row r="43" ht="40" customHeight="1">
      <c r="B43" s="22" t="str">
        <v>execute-api VPCE</v>
      </c>
      <c r="C43" s="21" t="str">
        <v>次のJSONは対象API・stage・method・pathだけを許可する例。</v>
      </c>
      <c r="D43" s="21" t="str">
        <v>Principal=*でも無認証APIになるわけではない。Cognito authorizerとAPI側ポリシーが引き続き評価される。</v>
      </c>
      <c r="E43" s="21" t="str">
        <v>S09</v>
      </c>
    </row>
    <row r="44" ht="40" customHeight="1">
      <c r="B44" s="20" t="str">
        <v>APIリソースポリシー</v>
      </c>
      <c r="C44" s="7" t="str">
        <v>対象メソッドへの許可に加え、指定VPCE以外を明示Denyする例。</v>
      </c>
      <c r="D44" s="7" t="str">
        <v>IDを実値へ置換。複数VPCEから使う場合は許可一覧を設計する。APIの反映・デプロイを確認する。</v>
      </c>
      <c r="E44" s="7" t="str">
        <v>S11</v>
      </c>
    </row>
    <row r="45" ht="55" customHeight="1">
      <c r="B45" s="22" t="str">
        <v>Cognito公開利用の制約</v>
      </c>
      <c r="C45" s="21" t="str">
        <v>VPCEポリシーはそのVPCEを通る通信だけを制御する。公開GetClientTokenを止めるものではない。</v>
      </c>
      <c r="D45" s="21" t="str">
        <v>公開発行も禁止したい場合は、対象プール・対象アクションに絞ったRCP等を検討。全cognito-idp:*の一括Denyは管理や既存認証にも影響する。</v>
      </c>
      <c r="E45" s="21" t="str">
        <v>S03</v>
      </c>
    </row>
    <row r="47" ht="25" customHeight="1">
      <c r="B47" s="13" t="str">
        <v>Cognito VPCEポリシー例</v>
      </c>
      <c r="C47" s="14"/>
      <c r="D47" s="14"/>
      <c r="E47" s="14"/>
    </row>
    <row r="48" ht="28" customHeight="1">
      <c r="B48" s="19" t="str">
        <v>行／言語</v>
      </c>
      <c r="C48" s="19" t="str">
        <v>コード（折り返し表示）</v>
      </c>
      <c r="D48" s="19" t="str"/>
      <c r="E48" s="19" t="str"/>
    </row>
    <row r="49" ht="19" customHeight="1">
      <c r="B49" s="23" t="str">
        <v>1 / json</v>
      </c>
      <c r="C49" s="7" t="str">
        <v>{</v>
      </c>
      <c r="D49" s="7" t="str"/>
      <c r="E49" s="7" t="str"/>
    </row>
    <row r="50" ht="19" customHeight="1">
      <c r="B50" s="24" t="str">
        <v>2 / json</v>
      </c>
      <c r="C50" s="21" t="str">
        <v>  "Version": "2012-10-17",</v>
      </c>
      <c r="D50" s="21" t="str"/>
      <c r="E50" s="21" t="str"/>
    </row>
    <row r="51" ht="19" customHeight="1">
      <c r="B51" s="23" t="str">
        <v>3 / json</v>
      </c>
      <c r="C51" s="7" t="str">
        <v>  "Statement": [</v>
      </c>
      <c r="D51" s="7" t="str"/>
      <c r="E51" s="7" t="str"/>
    </row>
    <row r="52" ht="19" customHeight="1">
      <c r="B52" s="24" t="str">
        <v>4 / json</v>
      </c>
      <c r="C52" s="21" t="str">
        <v>    {</v>
      </c>
      <c r="D52" s="21" t="str"/>
      <c r="E52" s="21" t="str"/>
    </row>
    <row r="53" ht="19" customHeight="1">
      <c r="B53" s="23" t="str">
        <v>5 / json</v>
      </c>
      <c r="C53" s="7" t="str">
        <v>      "Sid": "OnlyM2MTokenForApprovedPool",</v>
      </c>
      <c r="D53" s="7" t="str"/>
      <c r="E53" s="7" t="str"/>
    </row>
    <row r="54" ht="19" customHeight="1">
      <c r="B54" s="24" t="str">
        <v>6 / json</v>
      </c>
      <c r="C54" s="21" t="str">
        <v>      "Effect": "Allow",</v>
      </c>
      <c r="D54" s="21" t="str"/>
      <c r="E54" s="21" t="str"/>
    </row>
    <row r="55" ht="19" customHeight="1">
      <c r="B55" s="23" t="str">
        <v>7 / json</v>
      </c>
      <c r="C55" s="7" t="str">
        <v>      "Principal": "*",</v>
      </c>
      <c r="D55" s="7" t="str"/>
      <c r="E55" s="7" t="str"/>
    </row>
    <row r="56" ht="19" customHeight="1">
      <c r="B56" s="24" t="str">
        <v>8 / json</v>
      </c>
      <c r="C56" s="21" t="str">
        <v>      "Action": "cognito-idp:GetClientToken",</v>
      </c>
      <c r="D56" s="21" t="str"/>
      <c r="E56" s="21" t="str"/>
    </row>
    <row r="57" ht="33" customHeight="1">
      <c r="B57" s="23" t="str">
        <v>9 / json</v>
      </c>
      <c r="C57" s="7" t="str">
        <v>      "Resource": "arn:aws:cognito-idp:ap-northeast-1:123456789012:userpool/ap-northeast-1_REPLACE"</v>
      </c>
      <c r="D57" s="7" t="str"/>
      <c r="E57" s="7" t="str"/>
    </row>
    <row r="58" ht="19" customHeight="1">
      <c r="B58" s="24" t="str">
        <v>10 / json</v>
      </c>
      <c r="C58" s="21" t="str">
        <v>    }</v>
      </c>
      <c r="D58" s="21" t="str"/>
      <c r="E58" s="21" t="str"/>
    </row>
    <row r="59" ht="19" customHeight="1">
      <c r="B59" s="23" t="str">
        <v>11 / json</v>
      </c>
      <c r="C59" s="7" t="str">
        <v>  ]</v>
      </c>
      <c r="D59" s="7" t="str"/>
      <c r="E59" s="7" t="str"/>
    </row>
    <row r="60" ht="19" customHeight="1">
      <c r="B60" s="24" t="str">
        <v>12 / json</v>
      </c>
      <c r="C60" s="21" t="str">
        <v>}</v>
      </c>
      <c r="D60" s="21" t="str"/>
      <c r="E60" s="21" t="str"/>
    </row>
    <row r="62" ht="25" customHeight="1">
      <c r="B62" s="13" t="str">
        <v>execute-api VPCEポリシー例</v>
      </c>
      <c r="C62" s="14"/>
      <c r="D62" s="14"/>
      <c r="E62" s="14"/>
    </row>
    <row r="63" ht="28" customHeight="1">
      <c r="B63" s="19" t="str">
        <v>行／言語</v>
      </c>
      <c r="C63" s="19" t="str">
        <v>コード（折り返し表示）</v>
      </c>
      <c r="D63" s="19" t="str"/>
      <c r="E63" s="19" t="str"/>
    </row>
    <row r="64" ht="19" customHeight="1">
      <c r="B64" s="23" t="str">
        <v>1 / json</v>
      </c>
      <c r="C64" s="7" t="str">
        <v>{</v>
      </c>
      <c r="D64" s="7" t="str"/>
      <c r="E64" s="7" t="str"/>
    </row>
    <row r="65" ht="19" customHeight="1">
      <c r="B65" s="24" t="str">
        <v>2 / json</v>
      </c>
      <c r="C65" s="21" t="str">
        <v>  "Version": "2012-10-17",</v>
      </c>
      <c r="D65" s="21" t="str"/>
      <c r="E65" s="21" t="str"/>
    </row>
    <row r="66" ht="19" customHeight="1">
      <c r="B66" s="23" t="str">
        <v>3 / json</v>
      </c>
      <c r="C66" s="7" t="str">
        <v>  "Statement": [</v>
      </c>
      <c r="D66" s="7" t="str"/>
      <c r="E66" s="7" t="str"/>
    </row>
    <row r="67" ht="19" customHeight="1">
      <c r="B67" s="24" t="str">
        <v>4 / json</v>
      </c>
      <c r="C67" s="21" t="str">
        <v>    {</v>
      </c>
      <c r="D67" s="21" t="str"/>
      <c r="E67" s="21" t="str"/>
    </row>
    <row r="68" ht="19" customHeight="1">
      <c r="B68" s="23" t="str">
        <v>5 / json</v>
      </c>
      <c r="C68" s="7" t="str">
        <v>      "Effect": "Allow",</v>
      </c>
      <c r="D68" s="7" t="str"/>
      <c r="E68" s="7" t="str"/>
    </row>
    <row r="69" ht="19" customHeight="1">
      <c r="B69" s="24" t="str">
        <v>6 / json</v>
      </c>
      <c r="C69" s="21" t="str">
        <v>      "Principal": "*",</v>
      </c>
      <c r="D69" s="21" t="str"/>
      <c r="E69" s="21" t="str"/>
    </row>
    <row r="70" ht="19" customHeight="1">
      <c r="B70" s="23" t="str">
        <v>7 / json</v>
      </c>
      <c r="C70" s="7" t="str">
        <v>      "Action": "execute-api:Invoke",</v>
      </c>
      <c r="D70" s="7" t="str"/>
      <c r="E70" s="7" t="str"/>
    </row>
    <row r="71" ht="33" customHeight="1">
      <c r="B71" s="24" t="str">
        <v>8 / json</v>
      </c>
      <c r="C71" s="21" t="str">
        <v>      "Resource": "arn:aws:execute-api:ap-northeast-1:123456789012:REPLACE_API_ID/test/GET/health"</v>
      </c>
      <c r="D71" s="21" t="str"/>
      <c r="E71" s="21" t="str"/>
    </row>
    <row r="72" ht="19" customHeight="1">
      <c r="B72" s="23" t="str">
        <v>9 / json</v>
      </c>
      <c r="C72" s="7" t="str">
        <v>    }</v>
      </c>
      <c r="D72" s="7" t="str"/>
      <c r="E72" s="7" t="str"/>
    </row>
    <row r="73" ht="19" customHeight="1">
      <c r="B73" s="24" t="str">
        <v>10 / json</v>
      </c>
      <c r="C73" s="21" t="str">
        <v>  ]</v>
      </c>
      <c r="D73" s="21" t="str"/>
      <c r="E73" s="21" t="str"/>
    </row>
    <row r="74" ht="19" customHeight="1">
      <c r="B74" s="23" t="str">
        <v>11 / json</v>
      </c>
      <c r="C74" s="7" t="str">
        <v>}</v>
      </c>
      <c r="D74" s="7" t="str"/>
      <c r="E74" s="7" t="str"/>
    </row>
    <row r="76" ht="25" customHeight="1">
      <c r="B76" s="13" t="str">
        <v>APIリソースポリシー例</v>
      </c>
      <c r="C76" s="14"/>
      <c r="D76" s="14"/>
      <c r="E76" s="14"/>
    </row>
    <row r="77" ht="28" customHeight="1">
      <c r="B77" s="19" t="str">
        <v>行／言語</v>
      </c>
      <c r="C77" s="19" t="str">
        <v>コード（折り返し表示）</v>
      </c>
      <c r="D77" s="19" t="str"/>
      <c r="E77" s="19" t="str"/>
    </row>
    <row r="78" ht="19" customHeight="1">
      <c r="B78" s="23" t="str">
        <v>1 / json</v>
      </c>
      <c r="C78" s="7" t="str">
        <v>{</v>
      </c>
      <c r="D78" s="7" t="str"/>
      <c r="E78" s="7" t="str"/>
    </row>
    <row r="79" ht="19" customHeight="1">
      <c r="B79" s="24" t="str">
        <v>2 / json</v>
      </c>
      <c r="C79" s="21" t="str">
        <v>  "Version": "2012-10-17",</v>
      </c>
      <c r="D79" s="21" t="str"/>
      <c r="E79" s="21" t="str"/>
    </row>
    <row r="80" ht="19" customHeight="1">
      <c r="B80" s="23" t="str">
        <v>3 / json</v>
      </c>
      <c r="C80" s="7" t="str">
        <v>  "Statement": [</v>
      </c>
      <c r="D80" s="7" t="str"/>
      <c r="E80" s="7" t="str"/>
    </row>
    <row r="81" ht="19" customHeight="1">
      <c r="B81" s="24" t="str">
        <v>4 / json</v>
      </c>
      <c r="C81" s="21" t="str">
        <v>    {</v>
      </c>
      <c r="D81" s="21" t="str"/>
      <c r="E81" s="21" t="str"/>
    </row>
    <row r="82" ht="19" customHeight="1">
      <c r="B82" s="23" t="str">
        <v>5 / json</v>
      </c>
      <c r="C82" s="7" t="str">
        <v>      "Effect": "Allow",</v>
      </c>
      <c r="D82" s="7" t="str"/>
      <c r="E82" s="7" t="str"/>
    </row>
    <row r="83" ht="19" customHeight="1">
      <c r="B83" s="24" t="str">
        <v>6 / json</v>
      </c>
      <c r="C83" s="21" t="str">
        <v>      "Principal": "*",</v>
      </c>
      <c r="D83" s="21" t="str"/>
      <c r="E83" s="21" t="str"/>
    </row>
    <row r="84" ht="19" customHeight="1">
      <c r="B84" s="23" t="str">
        <v>7 / json</v>
      </c>
      <c r="C84" s="7" t="str">
        <v>      "Action": "execute-api:Invoke",</v>
      </c>
      <c r="D84" s="7" t="str"/>
      <c r="E84" s="7" t="str"/>
    </row>
    <row r="85" ht="19" customHeight="1">
      <c r="B85" s="24" t="str">
        <v>8 / json</v>
      </c>
      <c r="C85" s="21" t="str">
        <v>      "Resource": "execute-api:/test/GET/health"</v>
      </c>
      <c r="D85" s="21" t="str"/>
      <c r="E85" s="21" t="str"/>
    </row>
    <row r="86" ht="19" customHeight="1">
      <c r="B86" s="23" t="str">
        <v>9 / json</v>
      </c>
      <c r="C86" s="7" t="str">
        <v>    },</v>
      </c>
      <c r="D86" s="7" t="str"/>
      <c r="E86" s="7" t="str"/>
    </row>
    <row r="87" ht="19" customHeight="1">
      <c r="B87" s="24" t="str">
        <v>10 / json</v>
      </c>
      <c r="C87" s="21" t="str">
        <v>    {</v>
      </c>
      <c r="D87" s="21" t="str"/>
      <c r="E87" s="21" t="str"/>
    </row>
    <row r="88" ht="19" customHeight="1">
      <c r="B88" s="23" t="str">
        <v>11 / json</v>
      </c>
      <c r="C88" s="7" t="str">
        <v>      "Effect": "Deny",</v>
      </c>
      <c r="D88" s="7" t="str"/>
      <c r="E88" s="7" t="str"/>
    </row>
    <row r="89" ht="19" customHeight="1">
      <c r="B89" s="24" t="str">
        <v>12 / json</v>
      </c>
      <c r="C89" s="21" t="str">
        <v>      "Principal": "*",</v>
      </c>
      <c r="D89" s="21" t="str"/>
      <c r="E89" s="21" t="str"/>
    </row>
    <row r="90" ht="19" customHeight="1">
      <c r="B90" s="23" t="str">
        <v>13 / json</v>
      </c>
      <c r="C90" s="7" t="str">
        <v>      "Action": "execute-api:Invoke",</v>
      </c>
      <c r="D90" s="7" t="str"/>
      <c r="E90" s="7" t="str"/>
    </row>
    <row r="91" ht="19" customHeight="1">
      <c r="B91" s="24" t="str">
        <v>14 / json</v>
      </c>
      <c r="C91" s="21" t="str">
        <v>      "Resource": "execute-api:/test/GET/health",</v>
      </c>
      <c r="D91" s="21" t="str"/>
      <c r="E91" s="21" t="str"/>
    </row>
    <row r="92" ht="19" customHeight="1">
      <c r="B92" s="23" t="str">
        <v>15 / json</v>
      </c>
      <c r="C92" s="7" t="str">
        <v>      "Condition": {</v>
      </c>
      <c r="D92" s="7" t="str"/>
      <c r="E92" s="7" t="str"/>
    </row>
    <row r="93" ht="19" customHeight="1">
      <c r="B93" s="24" t="str">
        <v>16 / json</v>
      </c>
      <c r="C93" s="21" t="str">
        <v>        "StringNotEquals": {</v>
      </c>
      <c r="D93" s="21" t="str"/>
      <c r="E93" s="21" t="str"/>
    </row>
    <row r="94" ht="19" customHeight="1">
      <c r="B94" s="23" t="str">
        <v>17 / json</v>
      </c>
      <c r="C94" s="7" t="str">
        <v>          "aws:SourceVpce": "vpce-REPLACE_EXECUTE_API"</v>
      </c>
      <c r="D94" s="7" t="str"/>
      <c r="E94" s="7" t="str"/>
    </row>
    <row r="95" ht="19" customHeight="1">
      <c r="B95" s="24" t="str">
        <v>18 / json</v>
      </c>
      <c r="C95" s="21" t="str">
        <v>        }</v>
      </c>
      <c r="D95" s="21" t="str"/>
      <c r="E95" s="21" t="str"/>
    </row>
    <row r="96" ht="19" customHeight="1">
      <c r="B96" s="23" t="str">
        <v>19 / json</v>
      </c>
      <c r="C96" s="7" t="str">
        <v>      }</v>
      </c>
      <c r="D96" s="7" t="str"/>
      <c r="E96" s="7" t="str"/>
    </row>
    <row r="97" ht="19" customHeight="1">
      <c r="B97" s="24" t="str">
        <v>20 / json</v>
      </c>
      <c r="C97" s="21" t="str">
        <v>    }</v>
      </c>
      <c r="D97" s="21" t="str"/>
      <c r="E97" s="21" t="str"/>
    </row>
    <row r="98" ht="19" customHeight="1">
      <c r="B98" s="23" t="str">
        <v>21 / json</v>
      </c>
      <c r="C98" s="7" t="str">
        <v>  ]</v>
      </c>
      <c r="D98" s="7" t="str"/>
      <c r="E98" s="7" t="str"/>
    </row>
    <row r="99" ht="19" customHeight="1">
      <c r="B99" s="24" t="str">
        <v>22 / json</v>
      </c>
      <c r="C99" s="21" t="str">
        <v>}</v>
      </c>
      <c r="D99" s="21" t="str"/>
      <c r="E99" s="21" t="str"/>
    </row>
    <row r="101" ht="25" customHeight="1">
      <c r="B101" s="13" t="str">
        <v>既存APIとの互換性</v>
      </c>
      <c r="C101" s="14"/>
      <c r="D101" s="14"/>
      <c r="E101" s="14"/>
    </row>
    <row r="102" ht="28" customHeight="1">
      <c r="B102" s="19" t="str">
        <v>項目</v>
      </c>
      <c r="C102" s="19" t="str">
        <v>意味・判断根拠</v>
      </c>
      <c r="D102" s="19" t="str">
        <v>設定・運用への反映</v>
      </c>
      <c r="E102" s="19" t="str">
        <v>根拠</v>
      </c>
    </row>
    <row r="103" ht="40" customHeight="1">
      <c r="B103" s="20" t="str">
        <v>Issuerを変える必要はあるか</v>
      </c>
      <c r="C103" s="7" t="str">
        <v>GetClientTokenのためにUPDATED issuerへ変更する必要性は確認できない。取得APIの追加とissuer更新を同時に行う理由はない。</v>
      </c>
      <c r="D103" s="7" t="str">
        <v>現行issuerを維持して検証。新プールでは署名・iss・信頼先の変更として扱う。</v>
      </c>
      <c r="E103" s="7" t="str">
        <v>S02 S38 設計提案</v>
      </c>
    </row>
    <row r="104" ht="40" customHeight="1">
      <c r="B104" s="22" t="str">
        <v>audの正規表現</v>
      </c>
      <c r="C104" s="21" t="str">
        <v>REST API authorizerのID token用aud正規表現は、通常のM2M access tokenを拒否する原因になる。</v>
      </c>
      <c r="D104" s="21" t="str">
        <v>ID token用の設定をそのまま流用しない。access tokenのclient_idとscope等を必要な認可方式で評価する。</v>
      </c>
      <c r="E104" s="21" t="str">
        <v>S10 S14</v>
      </c>
    </row>
    <row r="105" ht="40" customHeight="1">
      <c r="B105" s="20" t="str">
        <v>複数scopeの意味</v>
      </c>
      <c r="C105" s="7" t="str">
        <v>API Gatewayのメソッドに複数scopeを設定した場合は、いずれか一致で許可される。全scope必須というAND条件ではない。</v>
      </c>
      <c r="D105" s="7" t="str">
        <v>全権限を同時に必須にする要件はLambda authorizer／バックエンド等で別に評価する。</v>
      </c>
      <c r="E105" s="7" t="str">
        <v>S10</v>
      </c>
    </row>
    <row r="106" ht="40" customHeight="1">
      <c r="B106" s="22" t="str">
        <v>client_idの制限</v>
      </c>
      <c r="C106" s="21" t="str">
        <v>標準Cognito authorizerでscopeを確認するだけで、特定client_idだけを許可できたと決めない。</v>
      </c>
      <c r="D106" s="21" t="str">
        <v>特定の発行元クライアント制限が必要なら専用scope・専用pool・追加認可を設計し、別クライアントの負試験を行う。</v>
      </c>
      <c r="E106" s="21" t="str">
        <v>S10 S14 設計提案</v>
      </c>
    </row>
  </sheetData>
  <pageMargins left="0.25" right="0.25" top="0.35" bottom="0.35" header="0.15" footer="0.15"/>
  <pageSetup paperSize="8" orientation="landscape" fitToWidth="1" fitToHeight="0"/>
</worksheet>
</file>

<file path=xl/worksheets/sheet5.xml><?xml version="1.0" encoding="utf-8"?>
<worksheet xmlns="http://schemas.openxmlformats.org/spreadsheetml/2006/main">
  <sheetPr>
    <pageSetUpPr fitToPage="1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30" hidden="0" customWidth="1"/>
    <col min="3" max="3" width="72" hidden="0" customWidth="1"/>
    <col min="4" max="4" width="61" hidden="0" customWidth="1"/>
    <col min="5" max="5" width="18" hidden="0" customWidth="1"/>
    <col min="6" max="6" width="3" hidden="0" customWidth="1"/>
  </cols>
  <sheetData>
    <row r="2" ht="30" customHeight="1">
      <c r="B2" s="2" t="str">
        <v>04 呼出方法</v>
      </c>
    </row>
    <row r="3" ht="23" customHeight="1">
      <c r="B3" s="3"/>
      <c r="C3" s="4" t="str">
        <v>調査基準日：2026-10-18</v>
      </c>
      <c r="D3" s="3"/>
      <c r="E3" s="3"/>
    </row>
    <row r="4" ht="53" customHeight="1">
      <c r="C4" s="7" t="str">
        <v>同じGetClientTokenを呼ぶ限り、認証の中身はClientId＋Secret。SDK、CLI、curl、PowerShell、JMeterで変わるのは呼出の書き方。閉域の成立条件はすべて共通。</v>
      </c>
    </row>
    <row r="6" ht="25" customHeight="1">
      <c r="B6" s="13" t="str">
        <v>呼び出し方の比較</v>
      </c>
      <c r="C6" s="14"/>
      <c r="D6" s="14"/>
      <c r="E6" s="14"/>
    </row>
    <row r="7" ht="28" customHeight="1">
      <c r="B7" s="19" t="str">
        <v>項目</v>
      </c>
      <c r="C7" s="19" t="str">
        <v>意味・判断根拠</v>
      </c>
      <c r="D7" s="19" t="str">
        <v>設定・運用への反映</v>
      </c>
      <c r="E7" s="19" t="str">
        <v>根拠</v>
      </c>
    </row>
    <row r="8" ht="40" customHeight="1">
      <c r="B8" s="20" t="str">
        <v>Python SDK</v>
      </c>
      <c r="C8" s="7" t="str">
        <v>boto3.client("cognito-idp").get_client_token(ClientId=..., Secret=..., Scopes=[...])</v>
      </c>
      <c r="D8" s="7" t="str">
        <v>botocoreモデルにGetClientTokenがあること。UNSIGNEDで資格情報の余計な探索を避ける。付属get_token_sdk.py。</v>
      </c>
      <c r="E8" s="7" t="str">
        <v>S02 S12</v>
      </c>
    </row>
    <row r="9" ht="40" customHeight="1">
      <c r="B9" s="22" t="str">
        <v>Java SDK v2</v>
      </c>
      <c r="C9" s="21" t="str">
        <v>CognitoIdentityProviderClient.getClientToken(GetClientTokenRequest.builder()...)</v>
      </c>
      <c r="D9" s="21" t="str">
        <v>対応SDKのBOMとHTTP実装を固定して配布。AnonymousCredentialsProviderでAWS IAM鍵を取得せずに呼ぶ。</v>
      </c>
      <c r="E9" s="21" t="str">
        <v>S02 S13</v>
      </c>
    </row>
    <row r="10" ht="40" customHeight="1">
      <c r="B10" s="20" t="str">
        <v>AWS CLI v2</v>
      </c>
      <c r="C10" s="7" t="str">
        <v>aws cognito-idp get-client-token --client-id ... --secret ... --scopes orders/read</v>
      </c>
      <c r="D10" s="7" t="str">
        <v>これは引数名の説明。実secretをコマンド引数へ書かず、保護したJSON入力／stdinを利用する。--no-sign-requestを付ける。</v>
      </c>
      <c r="E10" s="7" t="str">
        <v>S05</v>
      </c>
    </row>
    <row r="11" ht="40" customHeight="1">
      <c r="B11" s="22" t="str">
        <v>Bash＋CLI</v>
      </c>
      <c r="C11" s="21" t="str">
        <v>JSONを標準入力で渡す。Unix側のfile:///dev/stdinを使う。</v>
      </c>
      <c r="D11" s="21" t="str">
        <v>Linux／WSL用。Windows PowerShellにはこのパスや行継続記号をそのまま転記しない。付属get_token_cli.sh。</v>
      </c>
      <c r="E11" s="21" t="str">
        <v>S05 設計例</v>
      </c>
    </row>
    <row r="12" ht="40" customHeight="1">
      <c r="B12" s="20" t="str">
        <v>Bash＋curl</v>
      </c>
      <c r="C12" s="7" t="str">
        <v>CognitoのAWS JSONプロトコルへPOST。フォーム形式ではない。</v>
      </c>
      <c r="D12" s="7" t="str">
        <v>CLIが未対応でもサービスAPIを直接呼べる。curl -kは使わない。付属get_token_curl.sh。</v>
      </c>
      <c r="E12" s="7" t="str">
        <v>S02 設計例</v>
      </c>
    </row>
    <row r="13" ht="40" customHeight="1">
      <c r="B13" s="22" t="str">
        <v>PowerShell</v>
      </c>
      <c r="C13" s="21" t="str">
        <v>.NET HttpClientでHTTPS POSTし、JSON応答を取得する。</v>
      </c>
      <c r="D13" s="21" t="str">
        <v>今回確認したWindows PowerShell 5.1で解析可能な例。secretをプロセス引数へ渡さない。付属get_token.ps1。</v>
      </c>
      <c r="E13" s="21" t="str">
        <v>S02 設計例</v>
      </c>
    </row>
    <row r="14" ht="55" customHeight="1">
      <c r="B14" s="20" t="str">
        <v>JMeter標準HTTP Request</v>
      </c>
      <c r="C14" s="7" t="str">
        <v>POST /、application/x-amz-json-1.1、X-Amz-Target、JSON本文。</v>
      </c>
      <c r="D14" s="7" t="str">
        <v>JSON Extractorのパスは$.ClientAuthenticationResult.AccessToken。TLSと秘密の記録設定に注意。後述の厳格TLS方式を配布例に採用。</v>
      </c>
      <c r="E14" s="7" t="str">
        <v>S02 S27 S28</v>
      </c>
    </row>
    <row r="15" ht="40" customHeight="1">
      <c r="B15" s="22" t="str">
        <v>JMeter JSR223</v>
      </c>
      <c r="C15" s="21" t="str">
        <v>GroovyからJava標準HttpClientを利用し、GetClientTokenとAPIを呼ぶ。</v>
      </c>
      <c r="D15" s="21" t="str">
        <v>Java 11以上。配布JMXはTLSの証明書チェーンとホスト名を検証し、応答からtokenをログに残さず取り出す。</v>
      </c>
      <c r="E15" s="21" t="str">
        <v>S27 設計例</v>
      </c>
    </row>
    <row r="16" ht="40" customHeight="1">
      <c r="B16" s="20" t="str">
        <v>従来のOAuth／curl</v>
      </c>
      <c r="C16" s="7" t="str">
        <v>POST https://&lt;domain&gt;/oauth2/token、grant_type=client_credentials、フォーム本文。</v>
      </c>
      <c r="D16" s="7" t="str">
        <v>比較のための従来方式。公開経路が必要なので厳密な閉域要件の採用案にはしない。</v>
      </c>
      <c r="E16" s="7" t="str">
        <v>S03 S06</v>
      </c>
    </row>
    <row r="17" ht="40" customHeight="1">
      <c r="B17" s="22" t="str">
        <v>InitiateAuth／AdminInitiateAuth</v>
      </c>
      <c r="C17" s="21" t="str">
        <v>ユーザー認証のAPI。M2M用GetClientTokenの代用品ではない。</v>
      </c>
      <c r="D17" s="21" t="str">
        <v>ユーザー用パスワード認証に置き換えない。GetTokensFromRefreshTokenもM2M初回発行ではない。</v>
      </c>
      <c r="E17" s="21" t="str">
        <v>S02 S04</v>
      </c>
    </row>
    <row r="19" ht="25" customHeight="1">
      <c r="B19" s="13" t="str">
        <v>SDK・CLI・JMeterに共通するHTTP契約</v>
      </c>
      <c r="C19" s="14"/>
      <c r="D19" s="14"/>
      <c r="E19" s="14"/>
    </row>
    <row r="20" ht="28" customHeight="1">
      <c r="B20" s="19" t="str">
        <v>行／言語</v>
      </c>
      <c r="C20" s="19" t="str">
        <v>コード（折り返し表示）</v>
      </c>
      <c r="D20" s="19" t="str"/>
      <c r="E20" s="19" t="str"/>
    </row>
    <row r="21" ht="19" customHeight="1">
      <c r="B21" s="23" t="str">
        <v>1 / http</v>
      </c>
      <c r="C21" s="7" t="str">
        <v>POST / HTTP/1.1</v>
      </c>
      <c r="D21" s="7" t="str"/>
      <c r="E21" s="7" t="str"/>
    </row>
    <row r="22" ht="19" customHeight="1">
      <c r="B22" s="24" t="str">
        <v>2 / http</v>
      </c>
      <c r="C22" s="21" t="str">
        <v>Host: cognito-idp.ap-northeast-1.amazonaws.com</v>
      </c>
      <c r="D22" s="21" t="str"/>
      <c r="E22" s="21" t="str"/>
    </row>
    <row r="23" ht="19" customHeight="1">
      <c r="B23" s="23" t="str">
        <v>3 / http</v>
      </c>
      <c r="C23" s="7" t="str">
        <v>Content-Type: application/x-amz-json-1.1</v>
      </c>
      <c r="D23" s="7" t="str"/>
      <c r="E23" s="7" t="str"/>
    </row>
    <row r="24" ht="19" customHeight="1">
      <c r="B24" s="24" t="str">
        <v>4 / http</v>
      </c>
      <c r="C24" s="21" t="str">
        <v>X-Amz-Target: AWSCognitoIdentityProviderService.GetClientToken</v>
      </c>
      <c r="D24" s="21" t="str"/>
      <c r="E24" s="21" t="str"/>
    </row>
    <row r="25" ht="19" customHeight="1">
      <c r="B25" s="23" t="str">
        <v>5 / http</v>
      </c>
      <c r="C25" s="7" t="str"/>
      <c r="D25" s="7" t="str"/>
      <c r="E25" s="7" t="str"/>
    </row>
    <row r="26" ht="33" customHeight="1">
      <c r="B26" s="24" t="str">
        <v>6 / http</v>
      </c>
      <c r="C26" s="21" t="str">
        <v>{"ClientId":"REPLACE_CLIENT_ID","Secret":"REPLACE_WITH_SECURE_SECRET","Scopes":["orders/read"]}</v>
      </c>
      <c r="D26" s="21" t="str"/>
      <c r="E26" s="21" t="str"/>
    </row>
    <row r="27" ht="19" customHeight="1">
      <c r="B27" s="23" t="str">
        <v>7 / http</v>
      </c>
      <c r="C27" s="7" t="str"/>
      <c r="D27" s="7" t="str"/>
      <c r="E27" s="7" t="str"/>
    </row>
    <row r="28" ht="19" customHeight="1">
      <c r="B28" s="24" t="str">
        <v>8 / http</v>
      </c>
      <c r="C28" s="21" t="str">
        <v># 応答例（値はダミー。UserPoolIdパラメーターは不要）</v>
      </c>
      <c r="D28" s="21" t="str"/>
      <c r="E28" s="21" t="str"/>
    </row>
    <row r="29" ht="33" customHeight="1">
      <c r="B29" s="23" t="str">
        <v>9 / http</v>
      </c>
      <c r="C29" s="7" t="str">
        <v>{"ClientAuthenticationResult":{"AccessToken":"REDACTED","ExpiresIn":3600,"TokenType":"Bearer"}}</v>
      </c>
      <c r="D29" s="7" t="str"/>
      <c r="E29" s="7" t="str"/>
    </row>
    <row r="31" ht="25" customHeight="1">
      <c r="B31" s="13" t="str">
        <v>取り違え防止</v>
      </c>
      <c r="C31" s="14"/>
      <c r="D31" s="14"/>
      <c r="E31" s="14"/>
    </row>
    <row r="32" ht="28" customHeight="1">
      <c r="B32" s="19" t="str">
        <v>項目</v>
      </c>
      <c r="C32" s="19" t="str">
        <v>意味・判断根拠</v>
      </c>
      <c r="D32" s="19" t="str">
        <v>設定・運用への反映</v>
      </c>
      <c r="E32" s="19" t="str">
        <v>根拠</v>
      </c>
    </row>
    <row r="33" ht="40" customHeight="1">
      <c r="B33" s="20" t="str">
        <v>入力名</v>
      </c>
      <c r="C33" s="7" t="str">
        <v>GetClientTokenはSecret。ClientSecretやSECRET_HASHではない。Scopesは配列。</v>
      </c>
      <c r="D33" s="7" t="str">
        <v>grant_typeやUserPoolIdは不要。JSONはライブラリで生成し、文字列連結でsecretを埋め込まない。</v>
      </c>
      <c r="E33" s="7" t="str">
        <v>S02</v>
      </c>
    </row>
    <row r="34" ht="40" customHeight="1">
      <c r="B34" s="22" t="str">
        <v>応答名</v>
      </c>
      <c r="C34" s="21" t="str">
        <v>GetClientTokenはClientAuthenticationResult.AccessTokenとExpiresIn。</v>
      </c>
      <c r="D34" s="21" t="str">
        <v>OAuthのaccess_token／expires_inや、InitiateAuthのAuthenticationResultと区別する。</v>
      </c>
      <c r="E34" s="21" t="str">
        <v>S02 S06</v>
      </c>
    </row>
    <row r="35" ht="40" customHeight="1">
      <c r="B35" s="20" t="str">
        <v>scopeを省略したとき</v>
      </c>
      <c r="C35" s="7" t="str">
        <v>クライアントに設定済みのscopeが許可対象となる。</v>
      </c>
      <c r="D35" s="7" t="str">
        <v>意図せず広い権限を求めないよう、運用例では必要scopeを明示する。</v>
      </c>
      <c r="E35" s="7" t="str">
        <v>S02 S04</v>
      </c>
    </row>
    <row r="36" ht="40" customHeight="1">
      <c r="B36" s="22" t="str">
        <v>IAMの不要範囲</v>
      </c>
      <c r="C36" s="21" t="str">
        <v>GetClientTokenではidentity-based IAM policyを使って認証しない。client secretが必要。</v>
      </c>
      <c r="D36" s="21" t="str">
        <v>設定API・EC2照会・Secrets Manager等のIAM権限まで不要になるわけではない。VPCEポリシー／RCPも別に効く。</v>
      </c>
      <c r="E36" s="21" t="str">
        <v>S02 S03</v>
      </c>
    </row>
    <row r="37" ht="40" customHeight="1">
      <c r="B37" s="20" t="str">
        <v>SDKの対応確認</v>
      </c>
      <c r="C37" s="7" t="str">
        <v>公式資料に新APIがあっても、実行機のローカルモデルにはない場合がある。</v>
      </c>
      <c r="D37" s="7" t="str">
        <v>CLIはget-client-token --generate-cli-skeleton inputで通信せず確認。Pythonはoperation_namesで確認する。</v>
      </c>
      <c r="E37" s="7" t="str">
        <v>S05 設計例</v>
      </c>
    </row>
    <row r="38" ht="40" customHeight="1">
      <c r="B38" s="22" t="str">
        <v>このPCでの結果</v>
      </c>
      <c r="C38" s="21" t="str">
        <v>aws-cli/2.28.21ではget-client-tokenがInvalid choiceとなった。GetClientToken API自体の不在を意味しない。</v>
      </c>
      <c r="D38" s="21" t="str">
        <v>実環境への呼出前にCLIを承認済み版へ更新。資料のPython／Javaも依存バージョンと対応モデルを導入先で確認する。</v>
      </c>
      <c r="E38" s="21" t="str">
        <v>ローカル確認</v>
      </c>
    </row>
    <row r="39" ht="40" customHeight="1">
      <c r="B39" s="20" t="str">
        <v>Private DNSを使う場合</v>
      </c>
      <c r="C39" s="7" t="str">
        <v>通常のcognito-idp.&lt;region&gt;.amazonaws.comを指定したままでよい。</v>
      </c>
      <c r="D39" s="7" t="str">
        <v>実行機のDNS解決先が対象VPCEのENI IPであることを確かめる。FIPS／dual-stack／他リージョン名への自動切替も確認する。</v>
      </c>
      <c r="E39" s="7" t="str">
        <v>S03 S20</v>
      </c>
    </row>
    <row r="40" ht="40" customHeight="1">
      <c r="B40" s="22" t="str">
        <v>Private DNSを使わない場合</v>
      </c>
      <c r="C40" s="21" t="str">
        <v>対象VPCEが返すDnsEntriesの正確なDNS名を使う。</v>
      </c>
      <c r="D40" s="21" t="str">
        <v>CLIは--endpoint-url、Pythonはendpoint_url。VPCE IDからDNS名を推測して組み立てない。TLSホスト名も一致させる。</v>
      </c>
      <c r="E40" s="21" t="str">
        <v>S05 S20</v>
      </c>
    </row>
    <row r="42" ht="25" customHeight="1">
      <c r="B42" s="13" t="str">
        <v>Private REST APIの呼出URL</v>
      </c>
      <c r="C42" s="14"/>
      <c r="D42" s="14"/>
      <c r="E42" s="14"/>
    </row>
    <row r="43" ht="28" customHeight="1">
      <c r="B43" s="19" t="str">
        <v>項目</v>
      </c>
      <c r="C43" s="19" t="str">
        <v>意味・判断根拠</v>
      </c>
      <c r="D43" s="19" t="str">
        <v>設定・運用への反映</v>
      </c>
      <c r="E43" s="19" t="str">
        <v>根拠</v>
      </c>
    </row>
    <row r="44" ht="40" customHeight="1">
      <c r="B44" s="20" t="str">
        <v>Private DNS有効</v>
      </c>
      <c r="C44" s="7" t="str">
        <v>https://REPLACE_API_ID.execute-api.ap-northeast-1.amazonaws.com/test/health</v>
      </c>
      <c r="D44" s="7" t="str">
        <v>通常はAPI識別のためのHost上書き／x-apigw-api-idは不要。Authorization: Bearerは別途必要。</v>
      </c>
      <c r="E44" s="7" t="str">
        <v>S07 S08</v>
      </c>
    </row>
    <row r="45" ht="40" customHeight="1">
      <c r="B45" s="22" t="str">
        <v>VPCE固有DNS名</v>
      </c>
      <c r="C45" s="21" t="str">
        <v>https://&lt;DnsEntriesで取得したexecute-api用のVPCE DNS名&gt;/test/health</v>
      </c>
      <c r="D45" s="21" t="str">
        <v>x-apigw-api-id: REPLACE_API_IDを追加する方式を配布JMXで利用できる。API GatewayがどのAPIかを識別するためのヘッダー。</v>
      </c>
      <c r="E45" s="21" t="str">
        <v>S08</v>
      </c>
    </row>
    <row r="46" ht="55" customHeight="1">
      <c r="B46" s="20" t="str">
        <v>Private custom domain</v>
      </c>
      <c r="C46" s="7" t="str">
        <v>https://&lt;構成済みの専用ドメイン&gt;/health 等</v>
      </c>
      <c r="D46" s="7" t="str">
        <v>証明書、API mapping、ドメイン用resource policy、VPCEとのdomain name access association、DNSをそろえる。任意の名前を付けるだけでは動かない。</v>
      </c>
      <c r="E46" s="7" t="str">
        <v>S08 設計整理</v>
      </c>
    </row>
    <row r="47" ht="40" customHeight="1">
      <c r="B47" s="22" t="str">
        <v>Private DNSの影響範囲</v>
      </c>
      <c r="C47" s="21" t="str">
        <v>execute-apiのprivate DNSを有効にすると、同じVPCから公開APIの標準execute-apiエンドポイントへ接続できなくなる場合がある。</v>
      </c>
      <c r="D47" s="21" t="str">
        <v>他システムへの影響を確認。必要ならAPIごとのprivate hosted zoneやVPCE固有名を使い分ける。</v>
      </c>
      <c r="E47" s="21" t="str">
        <v>S07</v>
      </c>
    </row>
    <row r="49" ht="25" customHeight="1">
      <c r="B49" s="13" t="str">
        <v>Windows CLIでの取得例</v>
      </c>
      <c r="C49" s="14"/>
      <c r="D49" s="14"/>
      <c r="E49" s="14"/>
    </row>
    <row r="50" ht="28" customHeight="1">
      <c r="B50" s="19" t="str">
        <v>行／言語</v>
      </c>
      <c r="C50" s="19" t="str">
        <v>コード（折り返し表示）</v>
      </c>
      <c r="D50" s="19" t="str"/>
      <c r="E50" s="19" t="str"/>
    </row>
    <row r="51" ht="33" customHeight="1">
      <c r="B51" s="23" t="str">
        <v>1 / powershell</v>
      </c>
      <c r="C51" s="7" t="str">
        <v># Windows PowerShell。token-request.jsonは事前にACLを限定して安全に作成する。</v>
      </c>
      <c r="D51" s="7" t="str"/>
      <c r="E51" s="7" t="str"/>
    </row>
    <row r="52" ht="33" customHeight="1">
      <c r="B52" s="24" t="str">
        <v>2 / powershell</v>
      </c>
      <c r="C52" s="21" t="str">
        <v># ファイルにはClientId / Secret / Scopesを設定。Gitや共有フォルダへ置かない。</v>
      </c>
      <c r="D52" s="21" t="str"/>
      <c r="E52" s="21" t="str"/>
    </row>
    <row r="53" ht="19" customHeight="1">
      <c r="B53" s="23" t="str">
        <v>3 / powershell</v>
      </c>
      <c r="C53" s="7" t="str">
        <v>$token = aws cognito-idp get-client-token `</v>
      </c>
      <c r="D53" s="7" t="str"/>
      <c r="E53" s="7" t="str"/>
    </row>
    <row r="54" ht="19" customHeight="1">
      <c r="B54" s="24" t="str">
        <v>4 / powershell</v>
      </c>
      <c r="C54" s="21" t="str">
        <v>  --region ap-northeast-1 --no-sign-request --no-cli-pager `</v>
      </c>
      <c r="D54" s="21" t="str"/>
      <c r="E54" s="21" t="str"/>
    </row>
    <row r="55" ht="19" customHeight="1">
      <c r="B55" s="23" t="str">
        <v>5 / powershell</v>
      </c>
      <c r="C55" s="7" t="str">
        <v>  --cli-input-json file://token-request.json `</v>
      </c>
      <c r="D55" s="7" t="str"/>
      <c r="E55" s="7" t="str"/>
    </row>
    <row r="56" ht="19" customHeight="1">
      <c r="B56" s="24" t="str">
        <v>6 / powershell</v>
      </c>
      <c r="C56" s="21" t="str">
        <v>  --cli-connect-timeout 5 --cli-read-timeout 15 `</v>
      </c>
      <c r="D56" s="21" t="str"/>
      <c r="E56" s="21" t="str"/>
    </row>
    <row r="57" ht="19" customHeight="1">
      <c r="B57" s="23" t="str">
        <v>7 / powershell</v>
      </c>
      <c r="C57" s="7" t="str">
        <v>  --query ClientAuthenticationResult.AccessToken --output text</v>
      </c>
      <c r="D57" s="7" t="str"/>
      <c r="E57" s="7" t="str"/>
    </row>
    <row r="58" ht="19" customHeight="1">
      <c r="B58" s="24" t="str">
        <v>8 / powershell</v>
      </c>
      <c r="C58" s="21" t="str">
        <v>if ($LASTEXITCODE -ne 0) { throw 'GetClientToken failed' }</v>
      </c>
      <c r="D58" s="21" t="str"/>
      <c r="E58" s="21" t="str"/>
    </row>
    <row r="59" ht="33" customHeight="1">
      <c r="B59" s="23" t="str">
        <v>9 / powershell</v>
      </c>
      <c r="C59" s="7" t="str">
        <v>if ([string]::IsNullOrWhiteSpace($token) -or $token -eq 'None') { throw 'No token' }</v>
      </c>
      <c r="D59" s="7" t="str"/>
      <c r="E59" s="7" t="str"/>
    </row>
    <row r="60" ht="19" customHeight="1">
      <c r="B60" s="24" t="str">
        <v>10 / powershell</v>
      </c>
      <c r="C60" s="21" t="str">
        <v># $tokenを表示せず、Authorizationヘッダーへ渡す。</v>
      </c>
      <c r="D60" s="21" t="str"/>
      <c r="E60" s="21" t="str"/>
    </row>
    <row r="61" ht="19" customHeight="1">
      <c r="B61" s="23" t="str">
        <v>11 / powershell</v>
      </c>
      <c r="C61" s="7" t="str">
        <v># 秘密の平文ファイルを使いたくない場合は付属get_token.ps1を使う。</v>
      </c>
      <c r="D61" s="7" t="str"/>
      <c r="E61" s="7" t="str"/>
    </row>
    <row r="63" ht="25" customHeight="1">
      <c r="B63" s="13" t="str">
        <v>従来OAuth方式の比較用例（閉域案では使用しない）</v>
      </c>
      <c r="C63" s="14"/>
      <c r="D63" s="14"/>
      <c r="E63" s="14"/>
    </row>
    <row r="64" ht="28" customHeight="1">
      <c r="B64" s="19" t="str">
        <v>行／言語</v>
      </c>
      <c r="C64" s="19" t="str">
        <v>コード（折り返し表示）</v>
      </c>
      <c r="D64" s="19" t="str"/>
      <c r="E64" s="19" t="str"/>
    </row>
    <row r="65" ht="19" customHeight="1">
      <c r="B65" s="23" t="str">
        <v>1 / http</v>
      </c>
      <c r="C65" s="7" t="str">
        <v># 公開のCognitoドメインが必要。実secretを引数へ直書きしない。</v>
      </c>
      <c r="D65" s="7" t="str"/>
      <c r="E65" s="7" t="str"/>
    </row>
    <row r="66" ht="19" customHeight="1">
      <c r="B66" s="24" t="str">
        <v>2 / http</v>
      </c>
      <c r="C66" s="21" t="str">
        <v># HTTP要求の形を説明する例であり、このURLはVPCEへ変更できない。</v>
      </c>
      <c r="D66" s="21" t="str"/>
      <c r="E66" s="21" t="str"/>
    </row>
    <row r="67" ht="33" customHeight="1">
      <c r="B67" s="23" t="str">
        <v>3 / http</v>
      </c>
      <c r="C67" s="7" t="str">
        <v>POST https://REPLACE_DOMAIN.auth.ap-northeast-1.amazoncognito.com/oauth2/token</v>
      </c>
      <c r="D67" s="7" t="str"/>
      <c r="E67" s="7" t="str"/>
    </row>
    <row r="68" ht="19" customHeight="1">
      <c r="B68" s="24" t="str">
        <v>4 / http</v>
      </c>
      <c r="C68" s="21" t="str">
        <v>Content-Type: application/x-www-form-urlencoded</v>
      </c>
      <c r="D68" s="21" t="str"/>
      <c r="E68" s="21" t="str"/>
    </row>
    <row r="69" ht="19" customHeight="1">
      <c r="B69" s="23" t="str">
        <v>5 / http</v>
      </c>
      <c r="C69" s="7" t="str">
        <v>Authorization: Basic BASE64_CLIENT_ID_COLON_SECRET</v>
      </c>
      <c r="D69" s="7" t="str"/>
      <c r="E69" s="7" t="str"/>
    </row>
    <row r="70" ht="19" customHeight="1">
      <c r="B70" s="24" t="str">
        <v>6 / http</v>
      </c>
      <c r="C70" s="21" t="str"/>
      <c r="D70" s="21" t="str"/>
      <c r="E70" s="21" t="str"/>
    </row>
    <row r="71" ht="19" customHeight="1">
      <c r="B71" s="23" t="str">
        <v>7 / http</v>
      </c>
      <c r="C71" s="7" t="str">
        <v>grant_type=client_credentials&amp;scope=orders%2Fread</v>
      </c>
      <c r="D71" s="7" t="str"/>
      <c r="E71" s="7" t="str"/>
    </row>
  </sheetData>
  <pageMargins left="0.25" right="0.25" top="0.35" bottom="0.35" header="0.15" footer="0.15"/>
  <pageSetup paperSize="8" orientation="landscape" fitToWidth="1" fitToHeight="0"/>
</worksheet>
</file>

<file path=xl/worksheets/sheet6.xml><?xml version="1.0" encoding="utf-8"?>
<worksheet xmlns="http://schemas.openxmlformats.org/spreadsheetml/2006/main">
  <sheetPr>
    <pageSetUpPr fitToPage="1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30" hidden="0" customWidth="1"/>
    <col min="3" max="3" width="145" hidden="0" customWidth="1"/>
    <col min="4" max="4" width="4" hidden="0" customWidth="1"/>
    <col min="5" max="5" width="4" hidden="0" customWidth="1"/>
    <col min="6" max="6" width="3" hidden="0" customWidth="1"/>
  </cols>
  <sheetData>
    <row r="2" ht="30" customHeight="1">
      <c r="B2" s="2" t="str">
        <v>05 実装コード</v>
      </c>
    </row>
    <row r="3" ht="23" customHeight="1">
      <c r="B3" s="3"/>
      <c r="C3" s="4" t="str">
        <v>調査基準日：2026-10-18</v>
      </c>
      <c r="D3" s="3"/>
      <c r="E3" s="3"/>
    </row>
    <row r="4" ht="47" customHeight="1">
      <c r="C4" s="7" t="str">
        <v>コード例は実secretを含まない。環境変数は安全な実行基盤から注入する前提。実行前に承認済みのendpointを設定し、DNS・ルート・SGを確認する。HTTP例は各試行1要求、Python SDK例は最大3試行。Java抜粋は全体30秒の上限を示す。</v>
      </c>
    </row>
    <row r="6" ht="25" customHeight="1">
      <c r="B6" s="13" t="str">
        <v>Python SDKと期限付きキャッシュ：get_token_sdk.py</v>
      </c>
      <c r="C6" s="14"/>
      <c r="D6" s="14"/>
      <c r="E6" s="14"/>
    </row>
    <row r="7" ht="28" customHeight="1">
      <c r="B7" s="19" t="str">
        <v>行／言語</v>
      </c>
      <c r="C7" s="19" t="str">
        <v>コード（折り返し表示）</v>
      </c>
      <c r="D7" s="19" t="str"/>
      <c r="E7" s="19" t="str"/>
    </row>
    <row r="8" ht="19" customHeight="1">
      <c r="B8" s="23" t="str">
        <v>1 / python</v>
      </c>
      <c r="C8" s="7" t="str">
        <v>"""GetClientToken sample. A private route and private DNS are prerequisites."""</v>
      </c>
      <c r="D8" s="7" t="str"/>
      <c r="E8" s="7" t="str"/>
    </row>
    <row r="9" ht="19" customHeight="1">
      <c r="B9" s="24" t="str">
        <v>2 / python</v>
      </c>
      <c r="C9" s="21" t="str">
        <v>import argparse</v>
      </c>
      <c r="D9" s="21" t="str"/>
      <c r="E9" s="21" t="str"/>
    </row>
    <row r="10" ht="19" customHeight="1">
      <c r="B10" s="23" t="str">
        <v>3 / python</v>
      </c>
      <c r="C10" s="7" t="str">
        <v>import json</v>
      </c>
      <c r="D10" s="7" t="str"/>
      <c r="E10" s="7" t="str"/>
    </row>
    <row r="11" ht="19" customHeight="1">
      <c r="B11" s="24" t="str">
        <v>4 / python</v>
      </c>
      <c r="C11" s="21" t="str">
        <v>import os</v>
      </c>
      <c r="D11" s="21" t="str"/>
      <c r="E11" s="21" t="str"/>
    </row>
    <row r="12" ht="19" customHeight="1">
      <c r="B12" s="23" t="str">
        <v>5 / python</v>
      </c>
      <c r="C12" s="7" t="str">
        <v>import random</v>
      </c>
      <c r="D12" s="7" t="str"/>
      <c r="E12" s="7" t="str"/>
    </row>
    <row r="13" ht="19" customHeight="1">
      <c r="B13" s="24" t="str">
        <v>6 / python</v>
      </c>
      <c r="C13" s="21" t="str">
        <v>import threading</v>
      </c>
      <c r="D13" s="21" t="str"/>
      <c r="E13" s="21" t="str"/>
    </row>
    <row r="14" ht="19" customHeight="1">
      <c r="B14" s="23" t="str">
        <v>7 / python</v>
      </c>
      <c r="C14" s="7" t="str">
        <v>import time</v>
      </c>
      <c r="D14" s="7" t="str"/>
      <c r="E14" s="7" t="str"/>
    </row>
    <row r="15" ht="19" customHeight="1">
      <c r="B15" s="24" t="str">
        <v>8 / python</v>
      </c>
      <c r="C15" s="21" t="str">
        <v>import urllib.parse</v>
      </c>
      <c r="D15" s="21" t="str"/>
      <c r="E15" s="21" t="str"/>
    </row>
    <row r="16" ht="19" customHeight="1">
      <c r="B16" s="23" t="str">
        <v>9 / python</v>
      </c>
      <c r="C16" s="7" t="str">
        <v>import urllib.request</v>
      </c>
      <c r="D16" s="7" t="str"/>
      <c r="E16" s="7" t="str"/>
    </row>
    <row r="17" ht="19" customHeight="1">
      <c r="B17" s="24" t="str">
        <v>10 / python</v>
      </c>
      <c r="C17" s="21" t="str"/>
      <c r="D17" s="21" t="str"/>
      <c r="E17" s="21" t="str"/>
    </row>
    <row r="18" ht="19" customHeight="1">
      <c r="B18" s="23" t="str">
        <v>11 / python</v>
      </c>
      <c r="C18" s="7" t="str">
        <v>import boto3</v>
      </c>
      <c r="D18" s="7" t="str"/>
      <c r="E18" s="7" t="str"/>
    </row>
    <row r="19" ht="19" customHeight="1">
      <c r="B19" s="24" t="str">
        <v>12 / python</v>
      </c>
      <c r="C19" s="21" t="str">
        <v>from botocore import UNSIGNED</v>
      </c>
      <c r="D19" s="21" t="str"/>
      <c r="E19" s="21" t="str"/>
    </row>
    <row r="20" ht="19" customHeight="1">
      <c r="B20" s="23" t="str">
        <v>13 / python</v>
      </c>
      <c r="C20" s="7" t="str">
        <v>from botocore.config import Config</v>
      </c>
      <c r="D20" s="7" t="str"/>
      <c r="E20" s="7" t="str"/>
    </row>
    <row r="21" ht="19" customHeight="1">
      <c r="B21" s="24" t="str">
        <v>14 / python</v>
      </c>
      <c r="C21" s="21" t="str"/>
      <c r="D21" s="21" t="str"/>
      <c r="E21" s="21" t="str"/>
    </row>
    <row r="22" ht="19" customHeight="1">
      <c r="B22" s="23" t="str">
        <v>15 / python</v>
      </c>
      <c r="C22" s="7" t="str"/>
      <c r="D22" s="7" t="str"/>
      <c r="E22" s="7" t="str"/>
    </row>
    <row r="23" ht="19" customHeight="1">
      <c r="B23" s="24" t="str">
        <v>16 / python</v>
      </c>
      <c r="C23" s="21" t="str">
        <v>def required(name):</v>
      </c>
      <c r="D23" s="21" t="str"/>
      <c r="E23" s="21" t="str"/>
    </row>
    <row r="24" ht="19" customHeight="1">
      <c r="B24" s="23" t="str">
        <v>17 / python</v>
      </c>
      <c r="C24" s="7" t="str">
        <v>    value = os.environ.get(name, '').strip()</v>
      </c>
      <c r="D24" s="7" t="str"/>
      <c r="E24" s="7" t="str"/>
    </row>
    <row r="25" ht="19" customHeight="1">
      <c r="B25" s="24" t="str">
        <v>18 / python</v>
      </c>
      <c r="C25" s="21" t="str">
        <v>    if not value:</v>
      </c>
      <c r="D25" s="21" t="str"/>
      <c r="E25" s="21" t="str"/>
    </row>
    <row r="26" ht="19" customHeight="1">
      <c r="B26" s="23" t="str">
        <v>19 / python</v>
      </c>
      <c r="C26" s="7" t="str">
        <v>        raise ValueError(f'Missing environment variable: {name}')</v>
      </c>
      <c r="D26" s="7" t="str"/>
      <c r="E26" s="7" t="str"/>
    </row>
    <row r="27" ht="19" customHeight="1">
      <c r="B27" s="24" t="str">
        <v>20 / python</v>
      </c>
      <c r="C27" s="21" t="str">
        <v>    return value</v>
      </c>
      <c r="D27" s="21" t="str"/>
      <c r="E27" s="21" t="str"/>
    </row>
    <row r="28" ht="19" customHeight="1">
      <c r="B28" s="23" t="str">
        <v>21 / python</v>
      </c>
      <c r="C28" s="7" t="str"/>
      <c r="D28" s="7" t="str"/>
      <c r="E28" s="7" t="str"/>
    </row>
    <row r="29" ht="19" customHeight="1">
      <c r="B29" s="24" t="str">
        <v>22 / python</v>
      </c>
      <c r="C29" s="21" t="str"/>
      <c r="D29" s="21" t="str"/>
      <c r="E29" s="21" t="str"/>
    </row>
    <row r="30" ht="19" customHeight="1">
      <c r="B30" s="23" t="str">
        <v>23 / python</v>
      </c>
      <c r="C30" s="7" t="str">
        <v>class TokenProvider:</v>
      </c>
      <c r="D30" s="7" t="str"/>
      <c r="E30" s="7" t="str"/>
    </row>
    <row r="31" ht="19" customHeight="1">
      <c r="B31" s="24" t="str">
        <v>24 / python</v>
      </c>
      <c r="C31" s="21" t="str">
        <v>    """One cache per process/client/scope set; synchronize concurrent refreshes."""</v>
      </c>
      <c r="D31" s="21" t="str"/>
      <c r="E31" s="21" t="str"/>
    </row>
    <row r="32" ht="19" customHeight="1">
      <c r="B32" s="23" t="str">
        <v>25 / python</v>
      </c>
      <c r="C32" s="7" t="str">
        <v>    def __init__(self, client, client_id, secret, scopes):</v>
      </c>
      <c r="D32" s="7" t="str"/>
      <c r="E32" s="7" t="str"/>
    </row>
    <row r="33" ht="19" customHeight="1">
      <c r="B33" s="24" t="str">
        <v>26 / python</v>
      </c>
      <c r="C33" s="21" t="str">
        <v>        self.client, self.client_id = client, client_id</v>
      </c>
      <c r="D33" s="21" t="str"/>
      <c r="E33" s="21" t="str"/>
    </row>
    <row r="34" ht="19" customHeight="1">
      <c r="B34" s="23" t="str">
        <v>27 / python</v>
      </c>
      <c r="C34" s="7" t="str">
        <v>        self.secret, self.scopes = secret, tuple(sorted(set(scopes)))</v>
      </c>
      <c r="D34" s="7" t="str"/>
      <c r="E34" s="7" t="str"/>
    </row>
    <row r="35" ht="19" customHeight="1">
      <c r="B35" s="24" t="str">
        <v>28 / python</v>
      </c>
      <c r="C35" s="21" t="str">
        <v>        self.lock = threading.Lock()</v>
      </c>
      <c r="D35" s="21" t="str"/>
      <c r="E35" s="21" t="str"/>
    </row>
    <row r="36" ht="19" customHeight="1">
      <c r="B36" s="23" t="str">
        <v>29 / python</v>
      </c>
      <c r="C36" s="7" t="str">
        <v>        self.token, self.refresh_at, self.expires_at = None, 0.0, 0.0</v>
      </c>
      <c r="D36" s="7" t="str"/>
      <c r="E36" s="7" t="str"/>
    </row>
    <row r="37" ht="19" customHeight="1">
      <c r="B37" s="24" t="str">
        <v>30 / python</v>
      </c>
      <c r="C37" s="21" t="str"/>
      <c r="D37" s="21" t="str"/>
      <c r="E37" s="21" t="str"/>
    </row>
    <row r="38" ht="19" customHeight="1">
      <c r="B38" s="23" t="str">
        <v>31 / python</v>
      </c>
      <c r="C38" s="7" t="str">
        <v>    def get(self):</v>
      </c>
      <c r="D38" s="7" t="str"/>
      <c r="E38" s="7" t="str"/>
    </row>
    <row r="39" ht="19" customHeight="1">
      <c r="B39" s="24" t="str">
        <v>32 / python</v>
      </c>
      <c r="C39" s="21" t="str">
        <v>        with self.lock:</v>
      </c>
      <c r="D39" s="21" t="str"/>
      <c r="E39" s="21" t="str"/>
    </row>
    <row r="40" ht="19" customHeight="1">
      <c r="B40" s="23" t="str">
        <v>33 / python</v>
      </c>
      <c r="C40" s="7" t="str">
        <v>            if self.token and time.monotonic() &lt; self.refresh_at:</v>
      </c>
      <c r="D40" s="7" t="str"/>
      <c r="E40" s="7" t="str"/>
    </row>
    <row r="41" ht="19" customHeight="1">
      <c r="B41" s="24" t="str">
        <v>34 / python</v>
      </c>
      <c r="C41" s="21" t="str">
        <v>                return self.token</v>
      </c>
      <c r="D41" s="21" t="str"/>
      <c r="E41" s="21" t="str"/>
    </row>
    <row r="42" ht="19" customHeight="1">
      <c r="B42" s="23" t="str">
        <v>35 / python</v>
      </c>
      <c r="C42" s="7" t="str">
        <v>            # Start the lifetime clock before the request, conservatively.</v>
      </c>
      <c r="D42" s="7" t="str"/>
      <c r="E42" s="7" t="str"/>
    </row>
    <row r="43" ht="19" customHeight="1">
      <c r="B43" s="24" t="str">
        <v>36 / python</v>
      </c>
      <c r="C43" s="21" t="str">
        <v>            started = time.monotonic()</v>
      </c>
      <c r="D43" s="21" t="str"/>
      <c r="E43" s="21" t="str"/>
    </row>
    <row r="44" ht="19" customHeight="1">
      <c r="B44" s="23" t="str">
        <v>37 / python</v>
      </c>
      <c r="C44" s="7" t="str">
        <v>            response = self.client.get_client_token(</v>
      </c>
      <c r="D44" s="7" t="str"/>
      <c r="E44" s="7" t="str"/>
    </row>
    <row r="45" ht="19" customHeight="1">
      <c r="B45" s="24" t="str">
        <v>38 / python</v>
      </c>
      <c r="C45" s="21" t="str">
        <v>                ClientId=self.client_id, Secret=self.secret,</v>
      </c>
      <c r="D45" s="21" t="str"/>
      <c r="E45" s="21" t="str"/>
    </row>
    <row r="46" ht="19" customHeight="1">
      <c r="B46" s="23" t="str">
        <v>39 / python</v>
      </c>
      <c r="C46" s="7" t="str">
        <v>                Scopes=list(self.scopes))</v>
      </c>
      <c r="D46" s="7" t="str"/>
      <c r="E46" s="7" t="str"/>
    </row>
    <row r="47" ht="19" customHeight="1">
      <c r="B47" s="24" t="str">
        <v>40 / python</v>
      </c>
      <c r="C47" s="21" t="str">
        <v>            auth = response['ClientAuthenticationResult']</v>
      </c>
      <c r="D47" s="21" t="str"/>
      <c r="E47" s="21" t="str"/>
    </row>
    <row r="48" ht="19" customHeight="1">
      <c r="B48" s="23" t="str">
        <v>41 / python</v>
      </c>
      <c r="C48" s="7" t="str">
        <v>            lifetime = int(auth['ExpiresIn'])</v>
      </c>
      <c r="D48" s="7" t="str"/>
      <c r="E48" s="7" t="str"/>
    </row>
    <row r="49" ht="19" customHeight="1">
      <c r="B49" s="24" t="str">
        <v>42 / python</v>
      </c>
      <c r="C49" s="21" t="str">
        <v>            if lifetime &lt;= 0 or auth.get('TokenType', '').lower() != 'bearer':</v>
      </c>
      <c r="D49" s="21" t="str"/>
      <c r="E49" s="21" t="str"/>
    </row>
    <row r="50" ht="19" customHeight="1">
      <c r="B50" s="23" t="str">
        <v>43 / python</v>
      </c>
      <c r="C50" s="7" t="str">
        <v>                raise ValueError('Invalid token response metadata')</v>
      </c>
      <c r="D50" s="7" t="str"/>
      <c r="E50" s="7" t="str"/>
    </row>
    <row r="51" ht="19" customHeight="1">
      <c r="B51" s="24" t="str">
        <v>44 / python</v>
      </c>
      <c r="C51" s="21" t="str">
        <v>            token = auth['AccessToken']</v>
      </c>
      <c r="D51" s="21" t="str"/>
      <c r="E51" s="21" t="str"/>
    </row>
    <row r="52" ht="19" customHeight="1">
      <c r="B52" s="23" t="str">
        <v>45 / python</v>
      </c>
      <c r="C52" s="7" t="str">
        <v>            if not isinstance(token, str) or not token:</v>
      </c>
      <c r="D52" s="7" t="str"/>
      <c r="E52" s="7" t="str"/>
    </row>
    <row r="53" ht="19" customHeight="1">
      <c r="B53" s="24" t="str">
        <v>46 / python</v>
      </c>
      <c r="C53" s="21" t="str">
        <v>                raise ValueError('Missing access token')</v>
      </c>
      <c r="D53" s="21" t="str"/>
      <c r="E53" s="21" t="str"/>
    </row>
    <row r="54" ht="19" customHeight="1">
      <c r="B54" s="23" t="str">
        <v>47 / python</v>
      </c>
      <c r="C54" s="7" t="str">
        <v>            # Refresh at 75-80% of TTL; do not serve an expired token on failure.</v>
      </c>
      <c r="D54" s="7" t="str"/>
      <c r="E54" s="7" t="str"/>
    </row>
    <row r="55" ht="19" customHeight="1">
      <c r="B55" s="24" t="str">
        <v>48 / python</v>
      </c>
      <c r="C55" s="21" t="str">
        <v>            self.token = token</v>
      </c>
      <c r="D55" s="21" t="str"/>
      <c r="E55" s="21" t="str"/>
    </row>
    <row r="56" ht="19" customHeight="1">
      <c r="B56" s="23" t="str">
        <v>49 / python</v>
      </c>
      <c r="C56" s="7" t="str">
        <v>            self.refresh_at = started + lifetime * random.uniform(0.75, 0.80)</v>
      </c>
      <c r="D56" s="7" t="str"/>
      <c r="E56" s="7" t="str"/>
    </row>
    <row r="57" ht="19" customHeight="1">
      <c r="B57" s="24" t="str">
        <v>50 / python</v>
      </c>
      <c r="C57" s="21" t="str">
        <v>            self.expires_at = started + lifetime</v>
      </c>
      <c r="D57" s="21" t="str"/>
      <c r="E57" s="21" t="str"/>
    </row>
    <row r="58" ht="19" customHeight="1">
      <c r="B58" s="23" t="str">
        <v>51 / python</v>
      </c>
      <c r="C58" s="7" t="str">
        <v>            if time.monotonic() &gt;= self.refresh_at:</v>
      </c>
      <c r="D58" s="7" t="str"/>
      <c r="E58" s="7" t="str"/>
    </row>
    <row r="59" ht="19" customHeight="1">
      <c r="B59" s="24" t="str">
        <v>52 / python</v>
      </c>
      <c r="C59" s="21" t="str">
        <v>                self.token = None</v>
      </c>
      <c r="D59" s="21" t="str"/>
      <c r="E59" s="21" t="str"/>
    </row>
    <row r="60" ht="19" customHeight="1">
      <c r="B60" s="23" t="str">
        <v>53 / python</v>
      </c>
      <c r="C60" s="7" t="str">
        <v>                raise TimeoutError('Token response arrived too late')</v>
      </c>
      <c r="D60" s="7" t="str"/>
      <c r="E60" s="7" t="str"/>
    </row>
    <row r="61" ht="19" customHeight="1">
      <c r="B61" s="24" t="str">
        <v>54 / python</v>
      </c>
      <c r="C61" s="21" t="str">
        <v>            return token</v>
      </c>
      <c r="D61" s="21" t="str"/>
      <c r="E61" s="21" t="str"/>
    </row>
    <row r="62" ht="19" customHeight="1">
      <c r="B62" s="23" t="str">
        <v>55 / python</v>
      </c>
      <c r="C62" s="7" t="str"/>
      <c r="D62" s="7" t="str"/>
      <c r="E62" s="7" t="str"/>
    </row>
    <row r="63" ht="19" customHeight="1">
      <c r="B63" s="24" t="str">
        <v>56 / python</v>
      </c>
      <c r="C63" s="21" t="str"/>
      <c r="D63" s="21" t="str"/>
      <c r="E63" s="21" t="str"/>
    </row>
    <row r="64" ht="19" customHeight="1">
      <c r="B64" s="23" t="str">
        <v>57 / python</v>
      </c>
      <c r="C64" s="7" t="str">
        <v>def make_provider():</v>
      </c>
      <c r="D64" s="7" t="str"/>
      <c r="E64" s="7" t="str"/>
    </row>
    <row r="65" ht="19" customHeight="1">
      <c r="B65" s="24" t="str">
        <v>58 / python</v>
      </c>
      <c r="C65" s="21" t="str">
        <v>    region = required('AWS_REGION')</v>
      </c>
      <c r="D65" s="21" t="str"/>
      <c r="E65" s="21" t="str"/>
    </row>
    <row r="66" ht="19" customHeight="1">
      <c r="B66" s="23" t="str">
        <v>59 / python</v>
      </c>
      <c r="C66" s="7" t="str">
        <v>    scopes = required('COGNITO_SCOPES').split()</v>
      </c>
      <c r="D66" s="7" t="str"/>
      <c r="E66" s="7" t="str"/>
    </row>
    <row r="67" ht="19" customHeight="1">
      <c r="B67" s="24" t="str">
        <v>60 / python</v>
      </c>
      <c r="C67" s="21" t="str">
        <v>    endpoint = os.environ.get('COGNITO_ENDPOINT', '').strip()</v>
      </c>
      <c r="D67" s="21" t="str"/>
      <c r="E67" s="21" t="str"/>
    </row>
    <row r="68" ht="19" customHeight="1">
      <c r="B68" s="23" t="str">
        <v>61 / python</v>
      </c>
      <c r="C68" s="7" t="str">
        <v>    if endpoint:</v>
      </c>
      <c r="D68" s="7" t="str"/>
      <c r="E68" s="7" t="str"/>
    </row>
    <row r="69" ht="19" customHeight="1">
      <c r="B69" s="24" t="str">
        <v>62 / python</v>
      </c>
      <c r="C69" s="21" t="str">
        <v>        parsed = urllib.parse.urlsplit(endpoint)</v>
      </c>
      <c r="D69" s="21" t="str"/>
      <c r="E69" s="21" t="str"/>
    </row>
    <row r="70" ht="19" customHeight="1">
      <c r="B70" s="23" t="str">
        <v>63 / python</v>
      </c>
      <c r="C70" s="7" t="str">
        <v>        if parsed.scheme != 'https' or not parsed.hostname or parsed.username:</v>
      </c>
      <c r="D70" s="7" t="str"/>
      <c r="E70" s="7" t="str"/>
    </row>
    <row r="71" ht="19" customHeight="1">
      <c r="B71" s="24" t="str">
        <v>64 / python</v>
      </c>
      <c r="C71" s="21" t="str">
        <v>            raise ValueError('COGNITO_ENDPOINT must be an approved HTTPS endpoint')</v>
      </c>
      <c r="D71" s="21" t="str"/>
      <c r="E71" s="21" t="str"/>
    </row>
    <row r="72" ht="19" customHeight="1">
      <c r="B72" s="23" t="str">
        <v>65 / python</v>
      </c>
      <c r="C72" s="7" t="str">
        <v>    # UNSIGNED prevents credential lookup, including unintended IMDS/STS calls.</v>
      </c>
      <c r="D72" s="7" t="str"/>
      <c r="E72" s="7" t="str"/>
    </row>
    <row r="73" ht="19" customHeight="1">
      <c r="B73" s="24" t="str">
        <v>66 / python</v>
      </c>
      <c r="C73" s="21" t="str">
        <v>    client = boto3.client(</v>
      </c>
      <c r="D73" s="21" t="str"/>
      <c r="E73" s="21" t="str"/>
    </row>
    <row r="74" ht="19" customHeight="1">
      <c r="B74" s="23" t="str">
        <v>67 / python</v>
      </c>
      <c r="C74" s="7" t="str">
        <v>        'cognito-idp', region_name=region,</v>
      </c>
      <c r="D74" s="7" t="str"/>
      <c r="E74" s="7" t="str"/>
    </row>
    <row r="75" ht="19" customHeight="1">
      <c r="B75" s="24" t="str">
        <v>68 / python</v>
      </c>
      <c r="C75" s="21" t="str">
        <v>        endpoint_url=endpoint or None,</v>
      </c>
      <c r="D75" s="21" t="str"/>
      <c r="E75" s="21" t="str"/>
    </row>
    <row r="76" ht="19" customHeight="1">
      <c r="B76" s="23" t="str">
        <v>69 / python</v>
      </c>
      <c r="C76" s="7" t="str">
        <v>        config=Config(signature_version=UNSIGNED, connect_timeout=5,</v>
      </c>
      <c r="D76" s="7" t="str"/>
      <c r="E76" s="7" t="str"/>
    </row>
    <row r="77" ht="19" customHeight="1">
      <c r="B77" s="24" t="str">
        <v>70 / python</v>
      </c>
      <c r="C77" s="21" t="str">
        <v>                      read_timeout=15, proxies={},</v>
      </c>
      <c r="D77" s="21" t="str"/>
      <c r="E77" s="21" t="str"/>
    </row>
    <row r="78" ht="19" customHeight="1">
      <c r="B78" s="23" t="str">
        <v>71 / python</v>
      </c>
      <c r="C78" s="7" t="str">
        <v>                      retries={'mode': 'standard', 'total_max_attempts': 3}))</v>
      </c>
      <c r="D78" s="7" t="str"/>
      <c r="E78" s="7" t="str"/>
    </row>
    <row r="79" ht="19" customHeight="1">
      <c r="B79" s="24" t="str">
        <v>72 / python</v>
      </c>
      <c r="C79" s="21" t="str">
        <v>    if 'GetClientToken' not in client.meta.service_model.operation_names:</v>
      </c>
      <c r="D79" s="21" t="str"/>
      <c r="E79" s="21" t="str"/>
    </row>
    <row r="80" ht="19" customHeight="1">
      <c r="B80" s="23" t="str">
        <v>73 / python</v>
      </c>
      <c r="C80" s="7" t="str">
        <v>        raise RuntimeError('This boto3/botocore model lacks GetClientToken; update it')</v>
      </c>
      <c r="D80" s="7" t="str"/>
      <c r="E80" s="7" t="str"/>
    </row>
    <row r="81" ht="19" customHeight="1">
      <c r="B81" s="24" t="str">
        <v>74 / python</v>
      </c>
      <c r="C81" s="21" t="str">
        <v>    return TokenProvider(client, required('COGNITO_CLIENT_ID'),</v>
      </c>
      <c r="D81" s="21" t="str"/>
      <c r="E81" s="21" t="str"/>
    </row>
    <row r="82" ht="19" customHeight="1">
      <c r="B82" s="23" t="str">
        <v>75 / python</v>
      </c>
      <c r="C82" s="7" t="str">
        <v>                         required('COGNITO_CLIENT_SECRET'), scopes)</v>
      </c>
      <c r="D82" s="7" t="str"/>
      <c r="E82" s="7" t="str"/>
    </row>
    <row r="83" ht="19" customHeight="1">
      <c r="B83" s="24" t="str">
        <v>76 / python</v>
      </c>
      <c r="C83" s="21" t="str"/>
      <c r="D83" s="21" t="str"/>
      <c r="E83" s="21" t="str"/>
    </row>
    <row r="84" ht="19" customHeight="1">
      <c r="B84" s="23" t="str">
        <v>77 / python</v>
      </c>
      <c r="C84" s="7" t="str"/>
      <c r="D84" s="7" t="str"/>
      <c r="E84" s="7" t="str"/>
    </row>
    <row r="85" ht="19" customHeight="1">
      <c r="B85" s="24" t="str">
        <v>78 / python</v>
      </c>
      <c r="C85" s="21" t="str">
        <v>def call_api(token):</v>
      </c>
      <c r="D85" s="21" t="str"/>
      <c r="E85" s="21" t="str"/>
    </row>
    <row r="86" ht="19" customHeight="1">
      <c r="B86" s="23" t="str">
        <v>79 / python</v>
      </c>
      <c r="C86" s="7" t="str">
        <v>    url = required('API_URL')</v>
      </c>
      <c r="D86" s="7" t="str"/>
      <c r="E86" s="7" t="str"/>
    </row>
    <row r="87" ht="19" customHeight="1">
      <c r="B87" s="24" t="str">
        <v>80 / python</v>
      </c>
      <c r="C87" s="21" t="str">
        <v>    if urllib.parse.urlsplit(url).scheme != 'https':</v>
      </c>
      <c r="D87" s="21" t="str"/>
      <c r="E87" s="21" t="str"/>
    </row>
    <row r="88" ht="19" customHeight="1">
      <c r="B88" s="23" t="str">
        <v>81 / python</v>
      </c>
      <c r="C88" s="7" t="str">
        <v>        raise ValueError('API_URL must use HTTPS')</v>
      </c>
      <c r="D88" s="7" t="str"/>
      <c r="E88" s="7" t="str"/>
    </row>
    <row r="89" ht="19" customHeight="1">
      <c r="B89" s="24" t="str">
        <v>82 / python</v>
      </c>
      <c r="C89" s="21" t="str">
        <v>    headers = {'Authorization': 'Bearer ' + token}</v>
      </c>
      <c r="D89" s="21" t="str"/>
      <c r="E89" s="21" t="str"/>
    </row>
    <row r="90" ht="19" customHeight="1">
      <c r="B90" s="23" t="str">
        <v>83 / python</v>
      </c>
      <c r="C90" s="7" t="str">
        <v>    if os.environ.get('API_ID'):</v>
      </c>
      <c r="D90" s="7" t="str"/>
      <c r="E90" s="7" t="str"/>
    </row>
    <row r="91" ht="19" customHeight="1">
      <c r="B91" s="24" t="str">
        <v>84 / python</v>
      </c>
      <c r="C91" s="21" t="str">
        <v>        headers['x-apigw-api-id'] = os.environ['API_ID']</v>
      </c>
      <c r="D91" s="21" t="str"/>
      <c r="E91" s="21" t="str"/>
    </row>
    <row r="92" ht="19" customHeight="1">
      <c r="B92" s="23" t="str">
        <v>85 / python</v>
      </c>
      <c r="C92" s="7" t="str">
        <v>    request = urllib.request.Request(url, headers=headers, method='GET')</v>
      </c>
      <c r="D92" s="7" t="str"/>
      <c r="E92" s="7" t="str"/>
    </row>
    <row r="93" ht="19" customHeight="1">
      <c r="B93" s="24" t="str">
        <v>86 / python</v>
      </c>
      <c r="C93" s="21" t="str">
        <v>    opener = urllib.request.build_opener(urllib.request.ProxyHandler({}))</v>
      </c>
      <c r="D93" s="21" t="str"/>
      <c r="E93" s="21" t="str"/>
    </row>
    <row r="94" ht="19" customHeight="1">
      <c r="B94" s="23" t="str">
        <v>87 / python</v>
      </c>
      <c r="C94" s="7" t="str">
        <v>    # No automatic business-request retry; this sample only sends GET.</v>
      </c>
      <c r="D94" s="7" t="str"/>
      <c r="E94" s="7" t="str"/>
    </row>
    <row r="95" ht="19" customHeight="1">
      <c r="B95" s="24" t="str">
        <v>88 / python</v>
      </c>
      <c r="C95" s="21" t="str">
        <v>    with opener.open(request, timeout=15) as response:</v>
      </c>
      <c r="D95" s="21" t="str"/>
      <c r="E95" s="21" t="str"/>
    </row>
    <row r="96" ht="19" customHeight="1">
      <c r="B96" s="23" t="str">
        <v>89 / python</v>
      </c>
      <c r="C96" s="7" t="str">
        <v>        return response.status</v>
      </c>
      <c r="D96" s="7" t="str"/>
      <c r="E96" s="7" t="str"/>
    </row>
    <row r="97" ht="19" customHeight="1">
      <c r="B97" s="24" t="str">
        <v>90 / python</v>
      </c>
      <c r="C97" s="21" t="str"/>
      <c r="D97" s="21" t="str"/>
      <c r="E97" s="21" t="str"/>
    </row>
    <row r="98" ht="19" customHeight="1">
      <c r="B98" s="23" t="str">
        <v>91 / python</v>
      </c>
      <c r="C98" s="7" t="str"/>
      <c r="D98" s="7" t="str"/>
      <c r="E98" s="7" t="str"/>
    </row>
    <row r="99" ht="19" customHeight="1">
      <c r="B99" s="24" t="str">
        <v>92 / python</v>
      </c>
      <c r="C99" s="21" t="str">
        <v>def main():</v>
      </c>
      <c r="D99" s="21" t="str"/>
      <c r="E99" s="21" t="str"/>
    </row>
    <row r="100" ht="19" customHeight="1">
      <c r="B100" s="23" t="str">
        <v>93 / python</v>
      </c>
      <c r="C100" s="7" t="str">
        <v>    parser = argparse.ArgumentParser()</v>
      </c>
      <c r="D100" s="7" t="str"/>
      <c r="E100" s="7" t="str"/>
    </row>
    <row r="101" ht="19" customHeight="1">
      <c r="B101" s="24" t="str">
        <v>94 / python</v>
      </c>
      <c r="C101" s="21" t="str">
        <v>    parser.add_argument('--emit-token', action='store_true',</v>
      </c>
      <c r="D101" s="21" t="str"/>
      <c r="E101" s="21" t="str"/>
    </row>
    <row r="102" ht="19" customHeight="1">
      <c r="B102" s="23" t="str">
        <v>95 / python</v>
      </c>
      <c r="C102" s="7" t="str">
        <v>                        help='Emit the secret token to stdout for a protected pipe')</v>
      </c>
      <c r="D102" s="7" t="str"/>
      <c r="E102" s="7" t="str"/>
    </row>
    <row r="103" ht="19" customHeight="1">
      <c r="B103" s="24" t="str">
        <v>96 / python</v>
      </c>
      <c r="C103" s="21" t="str">
        <v>    parser.add_argument('--call-api', action='store_true')</v>
      </c>
      <c r="D103" s="21" t="str"/>
      <c r="E103" s="21" t="str"/>
    </row>
    <row r="104" ht="19" customHeight="1">
      <c r="B104" s="23" t="str">
        <v>97 / python</v>
      </c>
      <c r="C104" s="7" t="str">
        <v>    args = parser.parse_args()</v>
      </c>
      <c r="D104" s="7" t="str"/>
      <c r="E104" s="7" t="str"/>
    </row>
    <row r="105" ht="19" customHeight="1">
      <c r="B105" s="24" t="str">
        <v>98 / python</v>
      </c>
      <c r="C105" s="21" t="str">
        <v>    provider = make_provider()</v>
      </c>
      <c r="D105" s="21" t="str"/>
      <c r="E105" s="21" t="str"/>
    </row>
    <row r="106" ht="19" customHeight="1">
      <c r="B106" s="23" t="str">
        <v>99 / python</v>
      </c>
      <c r="C106" s="7" t="str">
        <v>    token = provider.get()</v>
      </c>
      <c r="D106" s="7" t="str"/>
      <c r="E106" s="7" t="str"/>
    </row>
    <row r="107" ht="19" customHeight="1">
      <c r="B107" s="24" t="str">
        <v>100 / python</v>
      </c>
      <c r="C107" s="21" t="str">
        <v>    if args.emit_token:</v>
      </c>
      <c r="D107" s="21" t="str"/>
      <c r="E107" s="21" t="str"/>
    </row>
    <row r="108" ht="19" customHeight="1">
      <c r="B108" s="23" t="str">
        <v>101 / python</v>
      </c>
      <c r="C108" s="7" t="str">
        <v>        print(token)</v>
      </c>
      <c r="D108" s="7" t="str"/>
      <c r="E108" s="7" t="str"/>
    </row>
    <row r="109" ht="19" customHeight="1">
      <c r="B109" s="24" t="str">
        <v>102 / python</v>
      </c>
      <c r="C109" s="21" t="str">
        <v>    elif args.call_api:</v>
      </c>
      <c r="D109" s="21" t="str"/>
      <c r="E109" s="21" t="str"/>
    </row>
    <row r="110" ht="19" customHeight="1">
      <c r="B110" s="23" t="str">
        <v>103 / python</v>
      </c>
      <c r="C110" s="7" t="str">
        <v>        print(json.dumps({'api_status': call_api(token)}))</v>
      </c>
      <c r="D110" s="7" t="str"/>
      <c r="E110" s="7" t="str"/>
    </row>
    <row r="111" ht="19" customHeight="1">
      <c r="B111" s="24" t="str">
        <v>104 / python</v>
      </c>
      <c r="C111" s="21" t="str">
        <v>    else:</v>
      </c>
      <c r="D111" s="21" t="str"/>
      <c r="E111" s="21" t="str"/>
    </row>
    <row r="112" ht="19" customHeight="1">
      <c r="B112" s="23" t="str">
        <v>105 / python</v>
      </c>
      <c r="C112" s="7" t="str">
        <v>        print(json.dumps({'token_received': True,</v>
      </c>
      <c r="D112" s="7" t="str"/>
      <c r="E112" s="7" t="str"/>
    </row>
    <row r="113" ht="19" customHeight="1">
      <c r="B113" s="24" t="str">
        <v>106 / python</v>
      </c>
      <c r="C113" s="21" t="str">
        <v>                          'expires_in_remaining': max(0, int(provider.expires_at - time.monotonic()))}))</v>
      </c>
      <c r="D113" s="21" t="str"/>
      <c r="E113" s="21" t="str"/>
    </row>
    <row r="114" ht="19" customHeight="1">
      <c r="B114" s="23" t="str">
        <v>107 / python</v>
      </c>
      <c r="C114" s="7" t="str"/>
      <c r="D114" s="7" t="str"/>
      <c r="E114" s="7" t="str"/>
    </row>
    <row r="115" ht="19" customHeight="1">
      <c r="B115" s="24" t="str">
        <v>108 / python</v>
      </c>
      <c r="C115" s="21" t="str"/>
      <c r="D115" s="21" t="str"/>
      <c r="E115" s="21" t="str"/>
    </row>
    <row r="116" ht="19" customHeight="1">
      <c r="B116" s="23" t="str">
        <v>109 / python</v>
      </c>
      <c r="C116" s="7" t="str">
        <v>if __name__ == '__main__':</v>
      </c>
      <c r="D116" s="7" t="str"/>
      <c r="E116" s="7" t="str"/>
    </row>
    <row r="117" ht="19" customHeight="1">
      <c r="B117" s="24" t="str">
        <v>110 / python</v>
      </c>
      <c r="C117" s="21" t="str">
        <v>    main()</v>
      </c>
      <c r="D117" s="21" t="str"/>
      <c r="E117" s="21" t="str"/>
    </row>
    <row r="119" ht="25" customHeight="1">
      <c r="B119" s="13" t="str">
        <v>Python標準HTTPによる直接呼出：get_token_http.py</v>
      </c>
      <c r="C119" s="14"/>
      <c r="D119" s="14"/>
      <c r="E119" s="14"/>
    </row>
    <row r="120" ht="28" customHeight="1">
      <c r="B120" s="19" t="str">
        <v>行／言語</v>
      </c>
      <c r="C120" s="19" t="str">
        <v>コード（折り返し表示）</v>
      </c>
      <c r="D120" s="19" t="str"/>
      <c r="E120" s="19" t="str"/>
    </row>
    <row r="121" ht="19" customHeight="1">
      <c r="B121" s="23" t="str">
        <v>1 / python</v>
      </c>
      <c r="C121" s="7" t="str">
        <v>"""Direct AWS JSON protocol sample, independent of an installed SDK model."""</v>
      </c>
      <c r="D121" s="7" t="str"/>
      <c r="E121" s="7" t="str"/>
    </row>
    <row r="122" ht="19" customHeight="1">
      <c r="B122" s="24" t="str">
        <v>2 / python</v>
      </c>
      <c r="C122" s="21" t="str">
        <v>import argparse</v>
      </c>
      <c r="D122" s="21" t="str"/>
      <c r="E122" s="21" t="str"/>
    </row>
    <row r="123" ht="19" customHeight="1">
      <c r="B123" s="23" t="str">
        <v>3 / python</v>
      </c>
      <c r="C123" s="7" t="str">
        <v>import json</v>
      </c>
      <c r="D123" s="7" t="str"/>
      <c r="E123" s="7" t="str"/>
    </row>
    <row r="124" ht="19" customHeight="1">
      <c r="B124" s="24" t="str">
        <v>4 / python</v>
      </c>
      <c r="C124" s="21" t="str">
        <v>import os</v>
      </c>
      <c r="D124" s="21" t="str"/>
      <c r="E124" s="21" t="str"/>
    </row>
    <row r="125" ht="19" customHeight="1">
      <c r="B125" s="23" t="str">
        <v>5 / python</v>
      </c>
      <c r="C125" s="7" t="str">
        <v>import urllib.error</v>
      </c>
      <c r="D125" s="7" t="str"/>
      <c r="E125" s="7" t="str"/>
    </row>
    <row r="126" ht="19" customHeight="1">
      <c r="B126" s="24" t="str">
        <v>6 / python</v>
      </c>
      <c r="C126" s="21" t="str">
        <v>import urllib.parse</v>
      </c>
      <c r="D126" s="21" t="str"/>
      <c r="E126" s="21" t="str"/>
    </row>
    <row r="127" ht="19" customHeight="1">
      <c r="B127" s="23" t="str">
        <v>7 / python</v>
      </c>
      <c r="C127" s="7" t="str">
        <v>import urllib.request</v>
      </c>
      <c r="D127" s="7" t="str"/>
      <c r="E127" s="7" t="str"/>
    </row>
    <row r="128" ht="19" customHeight="1">
      <c r="B128" s="24" t="str">
        <v>8 / python</v>
      </c>
      <c r="C128" s="21" t="str"/>
      <c r="D128" s="21" t="str"/>
      <c r="E128" s="21" t="str"/>
    </row>
    <row r="129" ht="19" customHeight="1">
      <c r="B129" s="23" t="str">
        <v>9 / python</v>
      </c>
      <c r="C129" s="7" t="str"/>
      <c r="D129" s="7" t="str"/>
      <c r="E129" s="7" t="str"/>
    </row>
    <row r="130" ht="19" customHeight="1">
      <c r="B130" s="24" t="str">
        <v>10 / python</v>
      </c>
      <c r="C130" s="21" t="str">
        <v>def get_token():</v>
      </c>
      <c r="D130" s="21" t="str"/>
      <c r="E130" s="21" t="str"/>
    </row>
    <row r="131" ht="19" customHeight="1">
      <c r="B131" s="23" t="str">
        <v>11 / python</v>
      </c>
      <c r="C131" s="7" t="str">
        <v>    region = os.environ['AWS_REGION']</v>
      </c>
      <c r="D131" s="7" t="str"/>
      <c r="E131" s="7" t="str"/>
    </row>
    <row r="132" ht="19" customHeight="1">
      <c r="B132" s="24" t="str">
        <v>12 / python</v>
      </c>
      <c r="C132" s="21" t="str">
        <v>    endpoint = os.environ.get('COGNITO_ENDPOINT') or f'https://cognito-idp.{region}.amazonaws.com/'</v>
      </c>
      <c r="D132" s="21" t="str"/>
      <c r="E132" s="21" t="str"/>
    </row>
    <row r="133" ht="19" customHeight="1">
      <c r="B133" s="23" t="str">
        <v>13 / python</v>
      </c>
      <c r="C133" s="7" t="str">
        <v>    parsed = urllib.parse.urlsplit(endpoint)</v>
      </c>
      <c r="D133" s="7" t="str"/>
      <c r="E133" s="7" t="str"/>
    </row>
    <row r="134" ht="19" customHeight="1">
      <c r="B134" s="24" t="str">
        <v>14 / python</v>
      </c>
      <c r="C134" s="21" t="str">
        <v>    if parsed.scheme != 'https' or not parsed.hostname or parsed.username:</v>
      </c>
      <c r="D134" s="21" t="str"/>
      <c r="E134" s="21" t="str"/>
    </row>
    <row r="135" ht="19" customHeight="1">
      <c r="B135" s="23" t="str">
        <v>15 / python</v>
      </c>
      <c r="C135" s="7" t="str">
        <v>        raise ValueError('An approved HTTPS Cognito endpoint is required')</v>
      </c>
      <c r="D135" s="7" t="str"/>
      <c r="E135" s="7" t="str"/>
    </row>
    <row r="136" ht="19" customHeight="1">
      <c r="B136" s="24" t="str">
        <v>16 / python</v>
      </c>
      <c r="C136" s="21" t="str">
        <v>    body = json.dumps({'ClientId': os.environ['COGNITO_CLIENT_ID'],</v>
      </c>
      <c r="D136" s="21" t="str"/>
      <c r="E136" s="21" t="str"/>
    </row>
    <row r="137" ht="19" customHeight="1">
      <c r="B137" s="23" t="str">
        <v>17 / python</v>
      </c>
      <c r="C137" s="7" t="str">
        <v>                       'Secret': os.environ['COGNITO_CLIENT_SECRET'],</v>
      </c>
      <c r="D137" s="7" t="str"/>
      <c r="E137" s="7" t="str"/>
    </row>
    <row r="138" ht="19" customHeight="1">
      <c r="B138" s="24" t="str">
        <v>18 / python</v>
      </c>
      <c r="C138" s="21" t="str">
        <v>                       'Scopes': os.environ['COGNITO_SCOPES'].split()}).encode('utf-8')</v>
      </c>
      <c r="D138" s="21" t="str"/>
      <c r="E138" s="21" t="str"/>
    </row>
    <row r="139" ht="19" customHeight="1">
      <c r="B139" s="23" t="str">
        <v>19 / python</v>
      </c>
      <c r="C139" s="7" t="str">
        <v>    request = urllib.request.Request(endpoint, data=body, headers={</v>
      </c>
      <c r="D139" s="7" t="str"/>
      <c r="E139" s="7" t="str"/>
    </row>
    <row r="140" ht="19" customHeight="1">
      <c r="B140" s="24" t="str">
        <v>20 / python</v>
      </c>
      <c r="C140" s="21" t="str">
        <v>        'Content-Type': 'application/x-amz-json-1.1',</v>
      </c>
      <c r="D140" s="21" t="str"/>
      <c r="E140" s="21" t="str"/>
    </row>
    <row r="141" ht="19" customHeight="1">
      <c r="B141" s="23" t="str">
        <v>21 / python</v>
      </c>
      <c r="C141" s="7" t="str">
        <v>        'X-Amz-Target': 'AWSCognitoIdentityProviderService.GetClientToken'}, method='POST')</v>
      </c>
      <c r="D141" s="7" t="str"/>
      <c r="E141" s="7" t="str"/>
    </row>
    <row r="142" ht="19" customHeight="1">
      <c r="B142" s="24" t="str">
        <v>22 / python</v>
      </c>
      <c r="C142" s="21" t="str">
        <v>    opener = urllib.request.build_opener(urllib.request.ProxyHandler({}))</v>
      </c>
      <c r="D142" s="21" t="str"/>
      <c r="E142" s="21" t="str"/>
    </row>
    <row r="143" ht="19" customHeight="1">
      <c r="B143" s="23" t="str">
        <v>23 / python</v>
      </c>
      <c r="C143" s="7" t="str">
        <v>    try:</v>
      </c>
      <c r="D143" s="7" t="str"/>
      <c r="E143" s="7" t="str"/>
    </row>
    <row r="144" ht="19" customHeight="1">
      <c r="B144" s="24" t="str">
        <v>24 / python</v>
      </c>
      <c r="C144" s="21" t="str">
        <v>        with opener.open(request, timeout=15) as response:</v>
      </c>
      <c r="D144" s="21" t="str"/>
      <c r="E144" s="21" t="str"/>
    </row>
    <row r="145" ht="19" customHeight="1">
      <c r="B145" s="23" t="str">
        <v>25 / python</v>
      </c>
      <c r="C145" s="7" t="str">
        <v>            auth = json.load(response)['ClientAuthenticationResult']</v>
      </c>
      <c r="D145" s="7" t="str"/>
      <c r="E145" s="7" t="str"/>
    </row>
    <row r="146" ht="19" customHeight="1">
      <c r="B146" s="24" t="str">
        <v>26 / python</v>
      </c>
      <c r="C146" s="21" t="str">
        <v>    except urllib.error.HTTPError as exc:</v>
      </c>
      <c r="D146" s="21" t="str"/>
      <c r="E146" s="21" t="str"/>
    </row>
    <row r="147" ht="19" customHeight="1">
      <c r="B147" s="23" t="str">
        <v>27 / python</v>
      </c>
      <c r="C147" s="7" t="str">
        <v>        # Do not print response payloads, request bodies, client secrets or tokens.</v>
      </c>
      <c r="D147" s="7" t="str"/>
      <c r="E147" s="7" t="str"/>
    </row>
    <row r="148" ht="19" customHeight="1">
      <c r="B148" s="24" t="str">
        <v>28 / python</v>
      </c>
      <c r="C148" s="21" t="str">
        <v>        raise RuntimeError(f'Cognito HTTP status={exc.code}') from None</v>
      </c>
      <c r="D148" s="21" t="str"/>
      <c r="E148" s="21" t="str"/>
    </row>
    <row r="149" ht="19" customHeight="1">
      <c r="B149" s="23" t="str">
        <v>29 / python</v>
      </c>
      <c r="C149" s="7" t="str">
        <v>    if not auth.get('AccessToken') or int(auth['ExpiresIn']) &lt;= 0:</v>
      </c>
      <c r="D149" s="7" t="str"/>
      <c r="E149" s="7" t="str"/>
    </row>
    <row r="150" ht="19" customHeight="1">
      <c r="B150" s="24" t="str">
        <v>30 / python</v>
      </c>
      <c r="C150" s="21" t="str">
        <v>        raise ValueError('Invalid ClientAuthenticationResult')</v>
      </c>
      <c r="D150" s="21" t="str"/>
      <c r="E150" s="21" t="str"/>
    </row>
    <row r="151" ht="19" customHeight="1">
      <c r="B151" s="23" t="str">
        <v>31 / python</v>
      </c>
      <c r="C151" s="7" t="str">
        <v>    return auth</v>
      </c>
      <c r="D151" s="7" t="str"/>
      <c r="E151" s="7" t="str"/>
    </row>
    <row r="152" ht="19" customHeight="1">
      <c r="B152" s="24" t="str">
        <v>32 / python</v>
      </c>
      <c r="C152" s="21" t="str"/>
      <c r="D152" s="21" t="str"/>
      <c r="E152" s="21" t="str"/>
    </row>
    <row r="153" ht="19" customHeight="1">
      <c r="B153" s="23" t="str">
        <v>33 / python</v>
      </c>
      <c r="C153" s="7" t="str"/>
      <c r="D153" s="7" t="str"/>
      <c r="E153" s="7" t="str"/>
    </row>
    <row r="154" ht="19" customHeight="1">
      <c r="B154" s="24" t="str">
        <v>34 / python</v>
      </c>
      <c r="C154" s="21" t="str">
        <v>if __name__ == '__main__':</v>
      </c>
      <c r="D154" s="21" t="str"/>
      <c r="E154" s="21" t="str"/>
    </row>
    <row r="155" ht="19" customHeight="1">
      <c r="B155" s="23" t="str">
        <v>35 / python</v>
      </c>
      <c r="C155" s="7" t="str">
        <v>    parser = argparse.ArgumentParser()</v>
      </c>
      <c r="D155" s="7" t="str"/>
      <c r="E155" s="7" t="str"/>
    </row>
    <row r="156" ht="19" customHeight="1">
      <c r="B156" s="24" t="str">
        <v>36 / python</v>
      </c>
      <c r="C156" s="21" t="str">
        <v>    parser.add_argument('--emit-token', action='store_true')</v>
      </c>
      <c r="D156" s="21" t="str"/>
      <c r="E156" s="21" t="str"/>
    </row>
    <row r="157" ht="19" customHeight="1">
      <c r="B157" s="23" t="str">
        <v>37 / python</v>
      </c>
      <c r="C157" s="7" t="str">
        <v>    args = parser.parse_args()</v>
      </c>
      <c r="D157" s="7" t="str"/>
      <c r="E157" s="7" t="str"/>
    </row>
    <row r="158" ht="19" customHeight="1">
      <c r="B158" s="24" t="str">
        <v>38 / python</v>
      </c>
      <c r="C158" s="21" t="str">
        <v>    result = get_token()</v>
      </c>
      <c r="D158" s="21" t="str"/>
      <c r="E158" s="21" t="str"/>
    </row>
    <row r="159" ht="19" customHeight="1">
      <c r="B159" s="23" t="str">
        <v>39 / python</v>
      </c>
      <c r="C159" s="7" t="str">
        <v>    print(result['AccessToken'] if args.emit_token else json.dumps({</v>
      </c>
      <c r="D159" s="7" t="str"/>
      <c r="E159" s="7" t="str"/>
    </row>
    <row r="160" ht="19" customHeight="1">
      <c r="B160" s="24" t="str">
        <v>40 / python</v>
      </c>
      <c r="C160" s="21" t="str">
        <v>        'token_received': True, 'expires_in': result['ExpiresIn']}))</v>
      </c>
      <c r="D160" s="21" t="str"/>
      <c r="E160" s="21" t="str"/>
    </row>
    <row r="162" ht="25" customHeight="1">
      <c r="B162" s="13" t="str">
        <v>BashとAWS CLI：get_token_cli.sh</v>
      </c>
      <c r="C162" s="14"/>
      <c r="D162" s="14"/>
      <c r="E162" s="14"/>
    </row>
    <row r="163" ht="28" customHeight="1">
      <c r="B163" s="19" t="str">
        <v>行／言語</v>
      </c>
      <c r="C163" s="19" t="str">
        <v>コード（折り返し表示）</v>
      </c>
      <c r="D163" s="19" t="str"/>
      <c r="E163" s="19" t="str"/>
    </row>
    <row r="164" ht="19" customHeight="1">
      <c r="B164" s="23" t="str">
        <v>1 / bash</v>
      </c>
      <c r="C164" s="7" t="str">
        <v>#!/usr/bin/env bash</v>
      </c>
      <c r="D164" s="7" t="str"/>
      <c r="E164" s="7" t="str"/>
    </row>
    <row r="165" ht="19" customHeight="1">
      <c r="B165" s="24" t="str">
        <v>2 / bash</v>
      </c>
      <c r="C165" s="21" t="str">
        <v># Linux/WSL example; not PowerShell syntax. Requires a GetClientToken-aware CLI.</v>
      </c>
      <c r="D165" s="21" t="str"/>
      <c r="E165" s="21" t="str"/>
    </row>
    <row r="166" ht="19" customHeight="1">
      <c r="B166" s="23" t="str">
        <v>3 / bash</v>
      </c>
      <c r="C166" s="7" t="str">
        <v>set -euo pipefail</v>
      </c>
      <c r="D166" s="7" t="str"/>
      <c r="E166" s="7" t="str"/>
    </row>
    <row r="167" ht="19" customHeight="1">
      <c r="B167" s="24" t="str">
        <v>4 / bash</v>
      </c>
      <c r="C167" s="21" t="str">
        <v>set +x</v>
      </c>
      <c r="D167" s="21" t="str"/>
      <c r="E167" s="21" t="str"/>
    </row>
    <row r="168" ht="19" customHeight="1">
      <c r="B168" s="23" t="str">
        <v>5 / bash</v>
      </c>
      <c r="C168" s="7" t="str">
        <v>: "${AWS_REGION:?Set AWS_REGION}"</v>
      </c>
      <c r="D168" s="7" t="str"/>
      <c r="E168" s="7" t="str"/>
    </row>
    <row r="169" ht="19" customHeight="1">
      <c r="B169" s="24" t="str">
        <v>6 / bash</v>
      </c>
      <c r="C169" s="21" t="str">
        <v>: "${COGNITO_CLIENT_ID:?Set COGNITO_CLIENT_ID}"</v>
      </c>
      <c r="D169" s="21" t="str"/>
      <c r="E169" s="21" t="str"/>
    </row>
    <row r="170" ht="19" customHeight="1">
      <c r="B170" s="23" t="str">
        <v>7 / bash</v>
      </c>
      <c r="C170" s="7" t="str">
        <v>: "${COGNITO_CLIENT_SECRET:?Inject COGNITO_CLIENT_SECRET securely}"</v>
      </c>
      <c r="D170" s="7" t="str"/>
      <c r="E170" s="7" t="str"/>
    </row>
    <row r="171" ht="19" customHeight="1">
      <c r="B171" s="24" t="str">
        <v>8 / bash</v>
      </c>
      <c r="C171" s="21" t="str">
        <v>: "${COGNITO_SCOPES:?Set space-separated custom scopes}"</v>
      </c>
      <c r="D171" s="21" t="str"/>
      <c r="E171" s="21" t="str"/>
    </row>
    <row r="172" ht="19" customHeight="1">
      <c r="B172" s="23" t="str">
        <v>9 / bash</v>
      </c>
      <c r="C172" s="7" t="str">
        <v>export AWS_PAGER=''</v>
      </c>
      <c r="D172" s="7" t="str"/>
      <c r="E172" s="7" t="str"/>
    </row>
    <row r="173" ht="19" customHeight="1">
      <c r="B173" s="24" t="str">
        <v>10 / bash</v>
      </c>
      <c r="C173" s="21" t="str">
        <v>export AWS_MAX_ATTEMPTS=3</v>
      </c>
      <c r="D173" s="21" t="str"/>
      <c r="E173" s="21" t="str"/>
    </row>
    <row r="174" ht="19" customHeight="1">
      <c r="B174" s="23" t="str">
        <v>11 / bash</v>
      </c>
      <c r="C174" s="7" t="str">
        <v>export AWS_RETRY_MODE=standard</v>
      </c>
      <c r="D174" s="7" t="str"/>
      <c r="E174" s="7" t="str"/>
    </row>
    <row r="175" ht="19" customHeight="1">
      <c r="B175" s="24" t="str">
        <v>12 / bash</v>
      </c>
      <c r="C175" s="21" t="str">
        <v>export NO_PROXY='*'</v>
      </c>
      <c r="D175" s="21" t="str"/>
      <c r="E175" s="21" t="str"/>
    </row>
    <row r="176" ht="19" customHeight="1">
      <c r="B176" s="23" t="str">
        <v>13 / bash</v>
      </c>
      <c r="C176" s="7" t="str">
        <v>export no_proxy='*'</v>
      </c>
      <c r="D176" s="7" t="str"/>
      <c r="E176" s="7" t="str"/>
    </row>
    <row r="177" ht="19" customHeight="1">
      <c r="B177" s="24" t="str">
        <v>14 / bash</v>
      </c>
      <c r="C177" s="21" t="str"/>
      <c r="D177" s="21" t="str"/>
      <c r="E177" s="21" t="str"/>
    </row>
    <row r="178" ht="19" customHeight="1">
      <c r="B178" s="23" t="str">
        <v>15 / bash</v>
      </c>
      <c r="C178" s="7" t="str">
        <v># The secret is sent on stdin, rather than as an argument visible in ps.</v>
      </c>
      <c r="D178" s="7" t="str"/>
      <c r="E178" s="7" t="str"/>
    </row>
    <row r="179" ht="19" customHeight="1">
      <c r="B179" s="24" t="str">
        <v>16 / bash</v>
      </c>
      <c r="C179" s="21" t="str">
        <v>make_request() {</v>
      </c>
      <c r="D179" s="21" t="str"/>
      <c r="E179" s="21" t="str"/>
    </row>
    <row r="180" ht="33" customHeight="1">
      <c r="B180" s="23" t="str">
        <v>17 / bash</v>
      </c>
      <c r="C180" s="7" t="str">
        <v>  python3 -c 'import json,os; print(json.dumps({"ClientId":os.environ["COGNITO_CLIENT_ID"],"Secret":os.environ["COGNITO_CLIENT_SECRET"],"Scopes":os.environ["COGNITO_SCOPES"].split()}))'</v>
      </c>
      <c r="D180" s="7" t="str"/>
      <c r="E180" s="7" t="str"/>
    </row>
    <row r="181" ht="19" customHeight="1">
      <c r="B181" s="24" t="str">
        <v>18 / bash</v>
      </c>
      <c r="C181" s="21" t="str">
        <v>}</v>
      </c>
      <c r="D181" s="21" t="str"/>
      <c r="E181" s="21" t="str"/>
    </row>
    <row r="182" ht="19" customHeight="1">
      <c r="B182" s="23" t="str">
        <v>19 / bash</v>
      </c>
      <c r="C182" s="7" t="str">
        <v>endpoint_args=()</v>
      </c>
      <c r="D182" s="7" t="str"/>
      <c r="E182" s="7" t="str"/>
    </row>
    <row r="183" ht="19" customHeight="1">
      <c r="B183" s="24" t="str">
        <v>20 / bash</v>
      </c>
      <c r="C183" s="21" t="str">
        <v>if [[ -n "${COGNITO_ENDPOINT:-}" ]]; then</v>
      </c>
      <c r="D183" s="21" t="str"/>
      <c r="E183" s="21" t="str"/>
    </row>
    <row r="184" ht="19" customHeight="1">
      <c r="B184" s="23" t="str">
        <v>21 / bash</v>
      </c>
      <c r="C184" s="7" t="str">
        <v>  [[ "$COGNITO_ENDPOINT" == https://* ]] || { echo 'HTTPS required' &gt;&amp;2; exit 2; }</v>
      </c>
      <c r="D184" s="7" t="str"/>
      <c r="E184" s="7" t="str"/>
    </row>
    <row r="185" ht="19" customHeight="1">
      <c r="B185" s="24" t="str">
        <v>22 / bash</v>
      </c>
      <c r="C185" s="21" t="str">
        <v>  endpoint_args=(--endpoint-url "$COGNITO_ENDPOINT")</v>
      </c>
      <c r="D185" s="21" t="str"/>
      <c r="E185" s="21" t="str"/>
    </row>
    <row r="186" ht="19" customHeight="1">
      <c r="B186" s="23" t="str">
        <v>23 / bash</v>
      </c>
      <c r="C186" s="7" t="str">
        <v>fi</v>
      </c>
      <c r="D186" s="7" t="str"/>
      <c r="E186" s="7" t="str"/>
    </row>
    <row r="187" ht="19" customHeight="1">
      <c r="B187" s="24" t="str">
        <v>24 / bash</v>
      </c>
      <c r="C187" s="21" t="str">
        <v>token="$(make_request | aws cognito-idp get-client-token \</v>
      </c>
      <c r="D187" s="21" t="str"/>
      <c r="E187" s="21" t="str"/>
    </row>
    <row r="188" ht="19" customHeight="1">
      <c r="B188" s="23" t="str">
        <v>25 / bash</v>
      </c>
      <c r="C188" s="7" t="str">
        <v>  --cli-input-json file:///dev/stdin --region "$AWS_REGION" \</v>
      </c>
      <c r="D188" s="7" t="str"/>
      <c r="E188" s="7" t="str"/>
    </row>
    <row r="189" ht="19" customHeight="1">
      <c r="B189" s="24" t="str">
        <v>26 / bash</v>
      </c>
      <c r="C189" s="21" t="str">
        <v>  --no-sign-request --no-cli-pager --cli-connect-timeout 5 \</v>
      </c>
      <c r="D189" s="21" t="str"/>
      <c r="E189" s="21" t="str"/>
    </row>
    <row r="190" ht="19" customHeight="1">
      <c r="B190" s="23" t="str">
        <v>27 / bash</v>
      </c>
      <c r="C190" s="7" t="str">
        <v>  --cli-read-timeout 15 "${endpoint_args[@]}" \</v>
      </c>
      <c r="D190" s="7" t="str"/>
      <c r="E190" s="7" t="str"/>
    </row>
    <row r="191" ht="19" customHeight="1">
      <c r="B191" s="24" t="str">
        <v>28 / bash</v>
      </c>
      <c r="C191" s="21" t="str">
        <v>  --query ClientAuthenticationResult.AccessToken --output text)"</v>
      </c>
      <c r="D191" s="21" t="str"/>
      <c r="E191" s="21" t="str"/>
    </row>
    <row r="192" ht="19" customHeight="1">
      <c r="B192" s="23" t="str">
        <v>29 / bash</v>
      </c>
      <c r="C192" s="7" t="str">
        <v>[[ -n "$token" &amp;&amp; "$token" != None ]] || { echo 'No token received' &gt;&amp;2; exit 1; }</v>
      </c>
      <c r="D192" s="7" t="str"/>
      <c r="E192" s="7" t="str"/>
    </row>
    <row r="193" ht="19" customHeight="1">
      <c r="B193" s="24" t="str">
        <v>30 / bash</v>
      </c>
      <c r="C193" s="21" t="str">
        <v>if [[ "${1:-}" == --emit-token ]]; then</v>
      </c>
      <c r="D193" s="21" t="str"/>
      <c r="E193" s="21" t="str"/>
    </row>
    <row r="194" ht="19" customHeight="1">
      <c r="B194" s="23" t="str">
        <v>31 / bash</v>
      </c>
      <c r="C194" s="7" t="str">
        <v>  printf '%s\n' "$token"</v>
      </c>
      <c r="D194" s="7" t="str"/>
      <c r="E194" s="7" t="str"/>
    </row>
    <row r="195" ht="19" customHeight="1">
      <c r="B195" s="24" t="str">
        <v>32 / bash</v>
      </c>
      <c r="C195" s="21" t="str">
        <v>else</v>
      </c>
      <c r="D195" s="21" t="str"/>
      <c r="E195" s="21" t="str"/>
    </row>
    <row r="196" ht="19" customHeight="1">
      <c r="B196" s="23" t="str">
        <v>33 / bash</v>
      </c>
      <c r="C196" s="7" t="str">
        <v>  printf '%s\n' 'Token received; token value suppressed.'</v>
      </c>
      <c r="D196" s="7" t="str"/>
      <c r="E196" s="7" t="str"/>
    </row>
    <row r="197" ht="19" customHeight="1">
      <c r="B197" s="24" t="str">
        <v>34 / bash</v>
      </c>
      <c r="C197" s="21" t="str">
        <v>fi</v>
      </c>
      <c r="D197" s="21" t="str"/>
      <c r="E197" s="21" t="str"/>
    </row>
    <row r="198" ht="19" customHeight="1">
      <c r="B198" s="23" t="str">
        <v>35 / bash</v>
      </c>
      <c r="C198" s="7" t="str">
        <v>unset token</v>
      </c>
      <c r="D198" s="7" t="str"/>
      <c r="E198" s="7" t="str"/>
    </row>
    <row r="200" ht="25" customHeight="1">
      <c r="B200" s="13" t="str">
        <v>Bashとcurl：get_token_curl.sh</v>
      </c>
      <c r="C200" s="14"/>
      <c r="D200" s="14"/>
      <c r="E200" s="14"/>
    </row>
    <row r="201" ht="28" customHeight="1">
      <c r="B201" s="19" t="str">
        <v>行／言語</v>
      </c>
      <c r="C201" s="19" t="str">
        <v>コード（折り返し表示）</v>
      </c>
      <c r="D201" s="19" t="str"/>
      <c r="E201" s="19" t="str"/>
    </row>
    <row r="202" ht="19" customHeight="1">
      <c r="B202" s="23" t="str">
        <v>1 / bash</v>
      </c>
      <c r="C202" s="7" t="str">
        <v>#!/usr/bin/env bash</v>
      </c>
      <c r="D202" s="7" t="str"/>
      <c r="E202" s="7" t="str"/>
    </row>
    <row r="203" ht="19" customHeight="1">
      <c r="B203" s="24" t="str">
        <v>2 / bash</v>
      </c>
      <c r="C203" s="21" t="str">
        <v># Linux/WSL; direct AWS API, not the public OAuth /oauth2/token endpoint.</v>
      </c>
      <c r="D203" s="21" t="str"/>
      <c r="E203" s="21" t="str"/>
    </row>
    <row r="204" ht="19" customHeight="1">
      <c r="B204" s="23" t="str">
        <v>3 / bash</v>
      </c>
      <c r="C204" s="7" t="str">
        <v>set -euo pipefail</v>
      </c>
      <c r="D204" s="7" t="str"/>
      <c r="E204" s="7" t="str"/>
    </row>
    <row r="205" ht="19" customHeight="1">
      <c r="B205" s="24" t="str">
        <v>4 / bash</v>
      </c>
      <c r="C205" s="21" t="str">
        <v>set +x</v>
      </c>
      <c r="D205" s="21" t="str"/>
      <c r="E205" s="21" t="str"/>
    </row>
    <row r="206" ht="19" customHeight="1">
      <c r="B206" s="23" t="str">
        <v>5 / bash</v>
      </c>
      <c r="C206" s="7" t="str">
        <v>: "${AWS_REGION:?}"</v>
      </c>
      <c r="D206" s="7" t="str"/>
      <c r="E206" s="7" t="str"/>
    </row>
    <row r="207" ht="19" customHeight="1">
      <c r="B207" s="24" t="str">
        <v>6 / bash</v>
      </c>
      <c r="C207" s="21" t="str">
        <v>: "${COGNITO_CLIENT_ID:?}"</v>
      </c>
      <c r="D207" s="21" t="str"/>
      <c r="E207" s="21" t="str"/>
    </row>
    <row r="208" ht="19" customHeight="1">
      <c r="B208" s="23" t="str">
        <v>7 / bash</v>
      </c>
      <c r="C208" s="7" t="str">
        <v>: "${COGNITO_CLIENT_SECRET:?}"</v>
      </c>
      <c r="D208" s="7" t="str"/>
      <c r="E208" s="7" t="str"/>
    </row>
    <row r="209" ht="19" customHeight="1">
      <c r="B209" s="24" t="str">
        <v>8 / bash</v>
      </c>
      <c r="C209" s="21" t="str">
        <v>: "${COGNITO_SCOPES:?}"</v>
      </c>
      <c r="D209" s="21" t="str"/>
      <c r="E209" s="21" t="str"/>
    </row>
    <row r="210" ht="19" customHeight="1">
      <c r="B210" s="23" t="str">
        <v>9 / bash</v>
      </c>
      <c r="C210" s="7" t="str">
        <v>endpoint="${COGNITO_ENDPOINT:-https://cognito-idp.${AWS_REGION}.amazonaws.com/}"</v>
      </c>
      <c r="D210" s="7" t="str"/>
      <c r="E210" s="7" t="str"/>
    </row>
    <row r="211" ht="19" customHeight="1">
      <c r="B211" s="24" t="str">
        <v>10 / bash</v>
      </c>
      <c r="C211" s="21" t="str">
        <v>[[ "$endpoint" == https://* ]] || { echo 'HTTPS required' &gt;&amp;2; exit 2; }</v>
      </c>
      <c r="D211" s="21" t="str"/>
      <c r="E211" s="21" t="str"/>
    </row>
    <row r="212" ht="33" customHeight="1">
      <c r="B212" s="23" t="str">
        <v>11 / bash</v>
      </c>
      <c r="C212" s="7" t="str">
        <v>python3 -c 'import json,os; print(json.dumps({"ClientId":os.environ["COGNITO_CLIENT_ID"],"Secret":os.environ["COGNITO_CLIENT_SECRET"],"Scopes":os.environ["COGNITO_SCOPES"].split()}))' |</v>
      </c>
      <c r="D212" s="7" t="str"/>
      <c r="E212" s="7" t="str"/>
    </row>
    <row r="213" ht="19" customHeight="1">
      <c r="B213" s="24" t="str">
        <v>12 / bash</v>
      </c>
      <c r="C213" s="21" t="str">
        <v>  curl -q --silent --show-error --fail --noproxy '*' --connect-timeout 5 --max-time 15 \</v>
      </c>
      <c r="D213" s="21" t="str"/>
      <c r="E213" s="21" t="str"/>
    </row>
    <row r="214" ht="19" customHeight="1">
      <c r="B214" s="23" t="str">
        <v>13 / bash</v>
      </c>
      <c r="C214" s="7" t="str">
        <v>    --proto '=https' --request POST "$endpoint" \</v>
      </c>
      <c r="D214" s="7" t="str"/>
      <c r="E214" s="7" t="str"/>
    </row>
    <row r="215" ht="19" customHeight="1">
      <c r="B215" s="24" t="str">
        <v>14 / bash</v>
      </c>
      <c r="C215" s="21" t="str">
        <v>    --header 'Content-Type: application/x-amz-json-1.1' \</v>
      </c>
      <c r="D215" s="21" t="str"/>
      <c r="E215" s="21" t="str"/>
    </row>
    <row r="216" ht="19" customHeight="1">
      <c r="B216" s="23" t="str">
        <v>15 / bash</v>
      </c>
      <c r="C216" s="7" t="str">
        <v>    --header 'X-Amz-Target: AWSCognitoIdentityProviderService.GetClientToken' \</v>
      </c>
      <c r="D216" s="7" t="str"/>
      <c r="E216" s="7" t="str"/>
    </row>
    <row r="217" ht="19" customHeight="1">
      <c r="B217" s="24" t="str">
        <v>16 / bash</v>
      </c>
      <c r="C217" s="21" t="str">
        <v>    --data-binary @- |</v>
      </c>
      <c r="D217" s="21" t="str"/>
      <c r="E217" s="21" t="str"/>
    </row>
    <row r="218" ht="33" customHeight="1">
      <c r="B218" s="23" t="str">
        <v>17 / bash</v>
      </c>
      <c r="C218" s="7" t="str">
        <v>  python3 -c 'import json,sys; a=json.load(sys.stdin)["ClientAuthenticationResult"]; assert a["AccessToken"] and int(a["ExpiresIn"])&gt;0; print(json.dumps({"token_received":True,"expires_in":a["ExpiresIn"]}))'</v>
      </c>
      <c r="D218" s="7" t="str"/>
      <c r="E218" s="7" t="str"/>
    </row>
    <row r="220" ht="25" customHeight="1">
      <c r="B220" s="13" t="str">
        <v>Windows PowerShellによる直接呼出：get_token.ps1</v>
      </c>
      <c r="C220" s="14"/>
      <c r="D220" s="14"/>
      <c r="E220" s="14"/>
    </row>
    <row r="221" ht="28" customHeight="1">
      <c r="B221" s="19" t="str">
        <v>行／言語</v>
      </c>
      <c r="C221" s="19" t="str">
        <v>コード（折り返し表示）</v>
      </c>
      <c r="D221" s="19" t="str"/>
      <c r="E221" s="19" t="str"/>
    </row>
    <row r="222" ht="19" customHeight="1">
      <c r="B222" s="23" t="str">
        <v>1 / powershell</v>
      </c>
      <c r="C222" s="7" t="str">
        <v># Windows PowerShell 5.1 / PowerShell 7. HTTPS certificate verification stays enabled.</v>
      </c>
      <c r="D222" s="7" t="str"/>
      <c r="E222" s="7" t="str"/>
    </row>
    <row r="223" ht="19" customHeight="1">
      <c r="B223" s="24" t="str">
        <v>2 / powershell</v>
      </c>
      <c r="C223" s="21" t="str">
        <v>[CmdletBinding()]</v>
      </c>
      <c r="D223" s="21" t="str"/>
      <c r="E223" s="21" t="str"/>
    </row>
    <row r="224" ht="19" customHeight="1">
      <c r="B224" s="23" t="str">
        <v>3 / powershell</v>
      </c>
      <c r="C224" s="7" t="str">
        <v>param([switch]$EmitToken)</v>
      </c>
      <c r="D224" s="7" t="str"/>
      <c r="E224" s="7" t="str"/>
    </row>
    <row r="225" ht="19" customHeight="1">
      <c r="B225" s="24" t="str">
        <v>4 / powershell</v>
      </c>
      <c r="C225" s="21" t="str">
        <v>$ErrorActionPreference = 'Stop'</v>
      </c>
      <c r="D225" s="21" t="str"/>
      <c r="E225" s="21" t="str"/>
    </row>
    <row r="226" ht="19" customHeight="1">
      <c r="B226" s="23" t="str">
        <v>5 / powershell</v>
      </c>
      <c r="C226" s="7" t="str">
        <v>foreach ($name in @('AWS_REGION','COGNITO_CLIENT_ID','COGNITO_CLIENT_SECRET','COGNITO_SCOPES')) {</v>
      </c>
      <c r="D226" s="7" t="str"/>
      <c r="E226" s="7" t="str"/>
    </row>
    <row r="227" ht="19" customHeight="1">
      <c r="B227" s="24" t="str">
        <v>6 / powershell</v>
      </c>
      <c r="C227" s="21" t="str">
        <v>    if ([string]::IsNullOrWhiteSpace([Environment]::GetEnvironmentVariable($name))) {</v>
      </c>
      <c r="D227" s="21" t="str"/>
      <c r="E227" s="21" t="str"/>
    </row>
    <row r="228" ht="19" customHeight="1">
      <c r="B228" s="23" t="str">
        <v>7 / powershell</v>
      </c>
      <c r="C228" s="7" t="str">
        <v>        throw "Missing environment variable: $name"</v>
      </c>
      <c r="D228" s="7" t="str"/>
      <c r="E228" s="7" t="str"/>
    </row>
    <row r="229" ht="19" customHeight="1">
      <c r="B229" s="24" t="str">
        <v>8 / powershell</v>
      </c>
      <c r="C229" s="21" t="str">
        <v>    }</v>
      </c>
      <c r="D229" s="21" t="str"/>
      <c r="E229" s="21" t="str"/>
    </row>
    <row r="230" ht="19" customHeight="1">
      <c r="B230" s="23" t="str">
        <v>9 / powershell</v>
      </c>
      <c r="C230" s="7" t="str">
        <v>}</v>
      </c>
      <c r="D230" s="7" t="str"/>
      <c r="E230" s="7" t="str"/>
    </row>
    <row r="231" ht="19" customHeight="1">
      <c r="B231" s="24" t="str">
        <v>10 / powershell</v>
      </c>
      <c r="C231" s="21" t="str">
        <v>$endpoint = $env:COGNITO_ENDPOINT</v>
      </c>
      <c r="D231" s="21" t="str"/>
      <c r="E231" s="21" t="str"/>
    </row>
    <row r="232" ht="19" customHeight="1">
      <c r="B232" s="23" t="str">
        <v>11 / powershell</v>
      </c>
      <c r="C232" s="7" t="str">
        <v>if ([string]::IsNullOrWhiteSpace($endpoint)) {</v>
      </c>
      <c r="D232" s="7" t="str"/>
      <c r="E232" s="7" t="str"/>
    </row>
    <row r="233" ht="19" customHeight="1">
      <c r="B233" s="24" t="str">
        <v>12 / powershell</v>
      </c>
      <c r="C233" s="21" t="str">
        <v>    $endpoint = 'https://cognito-idp.{0}.amazonaws.com/' -f $env:AWS_REGION</v>
      </c>
      <c r="D233" s="21" t="str"/>
      <c r="E233" s="21" t="str"/>
    </row>
    <row r="234" ht="19" customHeight="1">
      <c r="B234" s="23" t="str">
        <v>13 / powershell</v>
      </c>
      <c r="C234" s="7" t="str">
        <v>}</v>
      </c>
      <c r="D234" s="7" t="str"/>
      <c r="E234" s="7" t="str"/>
    </row>
    <row r="235" ht="19" customHeight="1">
      <c r="B235" s="24" t="str">
        <v>14 / powershell</v>
      </c>
      <c r="C235" s="21" t="str">
        <v>$uri = [Uri]$endpoint</v>
      </c>
      <c r="D235" s="21" t="str"/>
      <c r="E235" s="21" t="str"/>
    </row>
    <row r="236" ht="19" customHeight="1">
      <c r="B236" s="23" t="str">
        <v>15 / powershell</v>
      </c>
      <c r="C236" s="7" t="str">
        <v>if ($uri.Scheme -ne 'https' -or $uri.UserInfo) { throw 'Approved HTTPS endpoint required' }</v>
      </c>
      <c r="D236" s="7" t="str"/>
      <c r="E236" s="7" t="str"/>
    </row>
    <row r="237" ht="19" customHeight="1">
      <c r="B237" s="24" t="str">
        <v>16 / powershell</v>
      </c>
      <c r="C237" s="21" t="str">
        <v>$body = @{</v>
      </c>
      <c r="D237" s="21" t="str"/>
      <c r="E237" s="21" t="str"/>
    </row>
    <row r="238" ht="19" customHeight="1">
      <c r="B238" s="23" t="str">
        <v>17 / powershell</v>
      </c>
      <c r="C238" s="7" t="str">
        <v>    ClientId = $env:COGNITO_CLIENT_ID</v>
      </c>
      <c r="D238" s="7" t="str"/>
      <c r="E238" s="7" t="str"/>
    </row>
    <row r="239" ht="19" customHeight="1">
      <c r="B239" s="24" t="str">
        <v>18 / powershell</v>
      </c>
      <c r="C239" s="21" t="str">
        <v>    Secret = $env:COGNITO_CLIENT_SECRET</v>
      </c>
      <c r="D239" s="21" t="str"/>
      <c r="E239" s="21" t="str"/>
    </row>
    <row r="240" ht="19" customHeight="1">
      <c r="B240" s="23" t="str">
        <v>19 / powershell</v>
      </c>
      <c r="C240" s="7" t="str">
        <v>    Scopes = @($env:COGNITO_SCOPES -split '\s+' | Where-Object { $_ })</v>
      </c>
      <c r="D240" s="7" t="str"/>
      <c r="E240" s="7" t="str"/>
    </row>
    <row r="241" ht="19" customHeight="1">
      <c r="B241" s="24" t="str">
        <v>20 / powershell</v>
      </c>
      <c r="C241" s="21" t="str">
        <v>} | ConvertTo-Json -Compress</v>
      </c>
      <c r="D241" s="21" t="str"/>
      <c r="E241" s="21" t="str"/>
    </row>
    <row r="242" ht="19" customHeight="1">
      <c r="B242" s="23" t="str">
        <v>21 / powershell</v>
      </c>
      <c r="C242" s="7" t="str">
        <v>Add-Type -AssemblyName System.Net.Http</v>
      </c>
      <c r="D242" s="7" t="str"/>
      <c r="E242" s="7" t="str"/>
    </row>
    <row r="243" ht="19" customHeight="1">
      <c r="B243" s="24" t="str">
        <v>22 / powershell</v>
      </c>
      <c r="C243" s="21" t="str">
        <v>$handler = [System.Net.Http.HttpClientHandler]::new()</v>
      </c>
      <c r="D243" s="21" t="str"/>
      <c r="E243" s="21" t="str"/>
    </row>
    <row r="244" ht="19" customHeight="1">
      <c r="B244" s="23" t="str">
        <v>23 / powershell</v>
      </c>
      <c r="C244" s="7" t="str">
        <v>$handler.UseProxy = $false</v>
      </c>
      <c r="D244" s="7" t="str"/>
      <c r="E244" s="7" t="str"/>
    </row>
    <row r="245" ht="19" customHeight="1">
      <c r="B245" s="24" t="str">
        <v>24 / powershell</v>
      </c>
      <c r="C245" s="21" t="str">
        <v>$client = [System.Net.Http.HttpClient]::new($handler)</v>
      </c>
      <c r="D245" s="21" t="str"/>
      <c r="E245" s="21" t="str"/>
    </row>
    <row r="246" ht="19" customHeight="1">
      <c r="B246" s="23" t="str">
        <v>25 / powershell</v>
      </c>
      <c r="C246" s="7" t="str">
        <v>$client.Timeout = [TimeSpan]::FromSeconds(15)</v>
      </c>
      <c r="D246" s="7" t="str"/>
      <c r="E246" s="7" t="str"/>
    </row>
    <row r="247" ht="19" customHeight="1">
      <c r="B247" s="24" t="str">
        <v>26 / powershell</v>
      </c>
      <c r="C247" s="21" t="str">
        <v>$request = [System.Net.Http.HttpRequestMessage]::new([System.Net.Http.HttpMethod]::Post, $uri)</v>
      </c>
      <c r="D247" s="21" t="str"/>
      <c r="E247" s="21" t="str"/>
    </row>
    <row r="248" ht="19" customHeight="1">
      <c r="B248" s="23" t="str">
        <v>27 / powershell</v>
      </c>
      <c r="C248" s="7" t="str">
        <v>$request.Headers.Add('X-Amz-Target','AWSCognitoIdentityProviderService.GetClientToken')</v>
      </c>
      <c r="D248" s="7" t="str"/>
      <c r="E248" s="7" t="str"/>
    </row>
    <row r="249" ht="19" customHeight="1">
      <c r="B249" s="24" t="str">
        <v>28 / powershell</v>
      </c>
      <c r="C249" s="21" t="str">
        <v>$request.Content = [System.Net.Http.StringContent]::new(</v>
      </c>
      <c r="D249" s="21" t="str"/>
      <c r="E249" s="21" t="str"/>
    </row>
    <row r="250" ht="19" customHeight="1">
      <c r="B250" s="23" t="str">
        <v>29 / powershell</v>
      </c>
      <c r="C250" s="7" t="str">
        <v>    $body, [System.Text.Encoding]::UTF8, 'application/x-amz-json-1.1')</v>
      </c>
      <c r="D250" s="7" t="str"/>
      <c r="E250" s="7" t="str"/>
    </row>
    <row r="251" ht="19" customHeight="1">
      <c r="B251" s="24" t="str">
        <v>30 / powershell</v>
      </c>
      <c r="C251" s="21" t="str">
        <v>$response = $null</v>
      </c>
      <c r="D251" s="21" t="str"/>
      <c r="E251" s="21" t="str"/>
    </row>
    <row r="252" ht="19" customHeight="1">
      <c r="B252" s="23" t="str">
        <v>31 / powershell</v>
      </c>
      <c r="C252" s="7" t="str">
        <v>try {</v>
      </c>
      <c r="D252" s="7" t="str"/>
      <c r="E252" s="7" t="str"/>
    </row>
    <row r="253" ht="19" customHeight="1">
      <c r="B253" s="24" t="str">
        <v>32 / powershell</v>
      </c>
      <c r="C253" s="21" t="str">
        <v>    $response = $client.SendAsync($request).GetAwaiter().GetResult()</v>
      </c>
      <c r="D253" s="21" t="str"/>
      <c r="E253" s="21" t="str"/>
    </row>
    <row r="254" ht="19" customHeight="1">
      <c r="B254" s="23" t="str">
        <v>33 / powershell</v>
      </c>
      <c r="C254" s="7" t="str">
        <v>    if (-not $response.IsSuccessStatusCode) {</v>
      </c>
      <c r="D254" s="7" t="str"/>
      <c r="E254" s="7" t="str"/>
    </row>
    <row r="255" ht="19" customHeight="1">
      <c r="B255" s="24" t="str">
        <v>34 / powershell</v>
      </c>
      <c r="C255" s="21" t="str">
        <v>        throw ('Cognito HTTP status={0}' -f [int]$response.StatusCode)</v>
      </c>
      <c r="D255" s="21" t="str"/>
      <c r="E255" s="21" t="str"/>
    </row>
    <row r="256" ht="19" customHeight="1">
      <c r="B256" s="23" t="str">
        <v>35 / powershell</v>
      </c>
      <c r="C256" s="7" t="str">
        <v>    }</v>
      </c>
      <c r="D256" s="7" t="str"/>
      <c r="E256" s="7" t="str"/>
    </row>
    <row r="257" ht="19" customHeight="1">
      <c r="B257" s="24" t="str">
        <v>36 / powershell</v>
      </c>
      <c r="C257" s="21" t="str">
        <v>    $auth = ($response.Content.ReadAsStringAsync().GetAwaiter().GetResult() |</v>
      </c>
      <c r="D257" s="21" t="str"/>
      <c r="E257" s="21" t="str"/>
    </row>
    <row r="258" ht="19" customHeight="1">
      <c r="B258" s="23" t="str">
        <v>37 / powershell</v>
      </c>
      <c r="C258" s="7" t="str">
        <v>        ConvertFrom-Json).ClientAuthenticationResult</v>
      </c>
      <c r="D258" s="7" t="str"/>
      <c r="E258" s="7" t="str"/>
    </row>
    <row r="259" ht="19" customHeight="1">
      <c r="B259" s="24" t="str">
        <v>38 / powershell</v>
      </c>
      <c r="C259" s="21" t="str">
        <v>    if (-not $auth.AccessToken -or [int]$auth.ExpiresIn -le 0) { throw 'Invalid token response' }</v>
      </c>
      <c r="D259" s="21" t="str"/>
      <c r="E259" s="21" t="str"/>
    </row>
    <row r="260" ht="19" customHeight="1">
      <c r="B260" s="23" t="str">
        <v>39 / powershell</v>
      </c>
      <c r="C260" s="7" t="str">
        <v>    if ($EmitToken) { $auth.AccessToken }</v>
      </c>
      <c r="D260" s="7" t="str"/>
      <c r="E260" s="7" t="str"/>
    </row>
    <row r="261" ht="19" customHeight="1">
      <c r="B261" s="24" t="str">
        <v>40 / powershell</v>
      </c>
      <c r="C261" s="21" t="str">
        <v>    else { [pscustomobject]@{ TokenReceived = $true; ExpiresIn = $auth.ExpiresIn } }</v>
      </c>
      <c r="D261" s="21" t="str"/>
      <c r="E261" s="21" t="str"/>
    </row>
    <row r="262" ht="19" customHeight="1">
      <c r="B262" s="23" t="str">
        <v>41 / powershell</v>
      </c>
      <c r="C262" s="7" t="str">
        <v>}</v>
      </c>
      <c r="D262" s="7" t="str"/>
      <c r="E262" s="7" t="str"/>
    </row>
    <row r="263" ht="19" customHeight="1">
      <c r="B263" s="24" t="str">
        <v>42 / powershell</v>
      </c>
      <c r="C263" s="21" t="str">
        <v>finally {</v>
      </c>
      <c r="D263" s="21" t="str"/>
      <c r="E263" s="21" t="str"/>
    </row>
    <row r="264" ht="19" customHeight="1">
      <c r="B264" s="23" t="str">
        <v>43 / powershell</v>
      </c>
      <c r="C264" s="7" t="str">
        <v>    if ($response) { $response.Dispose() }</v>
      </c>
      <c r="D264" s="7" t="str"/>
      <c r="E264" s="7" t="str"/>
    </row>
    <row r="265" ht="19" customHeight="1">
      <c r="B265" s="24" t="str">
        <v>44 / powershell</v>
      </c>
      <c r="C265" s="21" t="str">
        <v>    $request.Dispose()</v>
      </c>
      <c r="D265" s="21" t="str"/>
      <c r="E265" s="21" t="str"/>
    </row>
    <row r="266" ht="19" customHeight="1">
      <c r="B266" s="23" t="str">
        <v>45 / powershell</v>
      </c>
      <c r="C266" s="7" t="str">
        <v>    $client.Dispose()</v>
      </c>
      <c r="D266" s="7" t="str"/>
      <c r="E266" s="7" t="str"/>
    </row>
    <row r="267" ht="19" customHeight="1">
      <c r="B267" s="24" t="str">
        <v>46 / powershell</v>
      </c>
      <c r="C267" s="21" t="str">
        <v>    $handler.Dispose()</v>
      </c>
      <c r="D267" s="21" t="str"/>
      <c r="E267" s="21" t="str"/>
    </row>
    <row r="268" ht="19" customHeight="1">
      <c r="B268" s="23" t="str">
        <v>47 / powershell</v>
      </c>
      <c r="C268" s="7" t="str">
        <v>    $body = $null</v>
      </c>
      <c r="D268" s="7" t="str"/>
      <c r="E268" s="7" t="str"/>
    </row>
    <row r="269" ht="19" customHeight="1">
      <c r="B269" s="24" t="str">
        <v>48 / powershell</v>
      </c>
      <c r="C269" s="21" t="str">
        <v>    $auth = $null</v>
      </c>
      <c r="D269" s="21" t="str"/>
      <c r="E269" s="21" t="str"/>
    </row>
    <row r="270" ht="19" customHeight="1">
      <c r="B270" s="23" t="str">
        <v>49 / powershell</v>
      </c>
      <c r="C270" s="7" t="str">
        <v>}</v>
      </c>
      <c r="D270" s="7" t="str"/>
      <c r="E270" s="7" t="str"/>
    </row>
    <row r="272" ht="25" customHeight="1">
      <c r="B272" s="13" t="str">
        <v>Java SDK v2の抜粋：get_token_java.java</v>
      </c>
      <c r="C272" s="14"/>
      <c r="D272" s="14"/>
      <c r="E272" s="14"/>
    </row>
    <row r="273" ht="28" customHeight="1">
      <c r="B273" s="19" t="str">
        <v>行／言語</v>
      </c>
      <c r="C273" s="19" t="str">
        <v>コード（折り返し表示）</v>
      </c>
      <c r="D273" s="19" t="str"/>
      <c r="E273" s="19" t="str"/>
    </row>
    <row r="274" ht="19" customHeight="1">
      <c r="B274" s="23" t="str">
        <v>1 / java</v>
      </c>
      <c r="C274" s="7" t="str">
        <v>// Excerpt for Java SDK v2; include this method in an application with SDK dependencies.</v>
      </c>
      <c r="D274" s="7" t="str"/>
      <c r="E274" s="7" t="str"/>
    </row>
    <row r="275" ht="19" customHeight="1">
      <c r="B275" s="24" t="str">
        <v>2 / java</v>
      </c>
      <c r="C275" s="21" t="str">
        <v>// Use the reviewed SDK BOM version that contains GetClientTokenRequest.</v>
      </c>
      <c r="D275" s="21" t="str"/>
      <c r="E275" s="21" t="str"/>
    </row>
    <row r="276" ht="19" customHeight="1">
      <c r="B276" s="23" t="str">
        <v>3 / java</v>
      </c>
      <c r="C276" s="7" t="str">
        <v>import software.amazon.awssdk.auth.credentials.AnonymousCredentialsProvider;</v>
      </c>
      <c r="D276" s="7" t="str"/>
      <c r="E276" s="7" t="str"/>
    </row>
    <row r="277" ht="19" customHeight="1">
      <c r="B277" s="24" t="str">
        <v>4 / java</v>
      </c>
      <c r="C277" s="21" t="str">
        <v>import software.amazon.awssdk.regions.Region;</v>
      </c>
      <c r="D277" s="21" t="str"/>
      <c r="E277" s="21" t="str"/>
    </row>
    <row r="278" ht="19" customHeight="1">
      <c r="B278" s="23" t="str">
        <v>5 / java</v>
      </c>
      <c r="C278" s="7" t="str">
        <v>import software.amazon.awssdk.services.cognitoidentityprovider.CognitoIdentityProviderClient;</v>
      </c>
      <c r="D278" s="7" t="str"/>
      <c r="E278" s="7" t="str"/>
    </row>
    <row r="279" ht="19" customHeight="1">
      <c r="B279" s="24" t="str">
        <v>6 / java</v>
      </c>
      <c r="C279" s="21" t="str">
        <v>import software.amazon.awssdk.services.cognitoidentityprovider.model.GetClientTokenRequest;</v>
      </c>
      <c r="D279" s="21" t="str"/>
      <c r="E279" s="21" t="str"/>
    </row>
    <row r="280" ht="19" customHeight="1">
      <c r="B280" s="23" t="str">
        <v>7 / java</v>
      </c>
      <c r="C280" s="7" t="str"/>
      <c r="D280" s="7" t="str"/>
      <c r="E280" s="7" t="str"/>
    </row>
    <row r="281" ht="19" customHeight="1">
      <c r="B281" s="24" t="str">
        <v>8 / java</v>
      </c>
      <c r="C281" s="21" t="str">
        <v>class GetTokenExample {</v>
      </c>
      <c r="D281" s="21" t="str"/>
      <c r="E281" s="21" t="str"/>
    </row>
    <row r="282" ht="19" customHeight="1">
      <c r="B282" s="23" t="str">
        <v>9 / java</v>
      </c>
      <c r="C282" s="7" t="str">
        <v>    static String obtainToken() {</v>
      </c>
      <c r="D282" s="7" t="str"/>
      <c r="E282" s="7" t="str"/>
    </row>
    <row r="283" ht="19" customHeight="1">
      <c r="B283" s="24" t="str">
        <v>10 / java</v>
      </c>
      <c r="C283" s="21" t="str">
        <v>        try (var cognito = CognitoIdentityProviderClient.builder()</v>
      </c>
      <c r="D283" s="21" t="str"/>
      <c r="E283" s="21" t="str"/>
    </row>
    <row r="284" ht="19" customHeight="1">
      <c r="B284" s="23" t="str">
        <v>11 / java</v>
      </c>
      <c r="C284" s="7" t="str">
        <v>                .region(Region.of(System.getenv("AWS_REGION")))</v>
      </c>
      <c r="D284" s="7" t="str"/>
      <c r="E284" s="7" t="str"/>
    </row>
    <row r="285" ht="19" customHeight="1">
      <c r="B285" s="24" t="str">
        <v>12 / java</v>
      </c>
      <c r="C285" s="21" t="str">
        <v>                .credentialsProvider(AnonymousCredentialsProvider.create())</v>
      </c>
      <c r="D285" s="21" t="str"/>
      <c r="E285" s="21" t="str"/>
    </row>
    <row r="286" ht="19" customHeight="1">
      <c r="B286" s="23" t="str">
        <v>13 / java</v>
      </c>
      <c r="C286" s="7" t="str">
        <v>                .overrideConfiguration(c -&gt; c</v>
      </c>
      <c r="D286" s="7" t="str"/>
      <c r="E286" s="7" t="str"/>
    </row>
    <row r="287" ht="19" customHeight="1">
      <c r="B287" s="24" t="str">
        <v>14 / java</v>
      </c>
      <c r="C287" s="21" t="str">
        <v>                    .apiCallTimeout(java.time.Duration.ofSeconds(30))</v>
      </c>
      <c r="D287" s="21" t="str"/>
      <c r="E287" s="21" t="str"/>
    </row>
    <row r="288" ht="19" customHeight="1">
      <c r="B288" s="23" t="str">
        <v>15 / java</v>
      </c>
      <c r="C288" s="7" t="str">
        <v>                    .apiCallAttemptTimeout(java.time.Duration.ofSeconds(15)))</v>
      </c>
      <c r="D288" s="7" t="str"/>
      <c r="E288" s="7" t="str"/>
    </row>
    <row r="289" ht="19" customHeight="1">
      <c r="B289" s="24" t="str">
        <v>16 / java</v>
      </c>
      <c r="C289" s="21" t="str">
        <v>                .build()) {</v>
      </c>
      <c r="D289" s="21" t="str"/>
      <c r="E289" s="21" t="str"/>
    </row>
    <row r="290" ht="19" customHeight="1">
      <c r="B290" s="23" t="str">
        <v>17 / java</v>
      </c>
      <c r="C290" s="7" t="str">
        <v>            var request = GetClientTokenRequest.builder()</v>
      </c>
      <c r="D290" s="7" t="str"/>
      <c r="E290" s="7" t="str"/>
    </row>
    <row r="291" ht="19" customHeight="1">
      <c r="B291" s="24" t="str">
        <v>18 / java</v>
      </c>
      <c r="C291" s="21" t="str">
        <v>                .clientId(System.getenv("COGNITO_CLIENT_ID"))</v>
      </c>
      <c r="D291" s="21" t="str"/>
      <c r="E291" s="21" t="str"/>
    </row>
    <row r="292" ht="19" customHeight="1">
      <c r="B292" s="23" t="str">
        <v>19 / java</v>
      </c>
      <c r="C292" s="7" t="str">
        <v>                .secret(System.getenv("COGNITO_CLIENT_SECRET"))</v>
      </c>
      <c r="D292" s="7" t="str"/>
      <c r="E292" s="7" t="str"/>
    </row>
    <row r="293" ht="19" customHeight="1">
      <c r="B293" s="24" t="str">
        <v>20 / java</v>
      </c>
      <c r="C293" s="21" t="str">
        <v>                .scopes(System.getenv("COGNITO_SCOPES").trim().split("\\s+"))</v>
      </c>
      <c r="D293" s="21" t="str"/>
      <c r="E293" s="21" t="str"/>
    </row>
    <row r="294" ht="19" customHeight="1">
      <c r="B294" s="23" t="str">
        <v>21 / java</v>
      </c>
      <c r="C294" s="7" t="str">
        <v>                .build();</v>
      </c>
      <c r="D294" s="7" t="str"/>
      <c r="E294" s="7" t="str"/>
    </row>
    <row r="295" ht="19" customHeight="1">
      <c r="B295" s="24" t="str">
        <v>22 / java</v>
      </c>
      <c r="C295" s="21" t="str">
        <v>            return cognito.getClientToken(request)</v>
      </c>
      <c r="D295" s="21" t="str"/>
      <c r="E295" s="21" t="str"/>
    </row>
    <row r="296" ht="19" customHeight="1">
      <c r="B296" s="23" t="str">
        <v>23 / java</v>
      </c>
      <c r="C296" s="7" t="str">
        <v>                .clientAuthenticationResult().accessToken();</v>
      </c>
      <c r="D296" s="7" t="str"/>
      <c r="E296" s="7" t="str"/>
    </row>
    <row r="297" ht="19" customHeight="1">
      <c r="B297" s="24" t="str">
        <v>24 / java</v>
      </c>
      <c r="C297" s="21" t="str">
        <v>        }</v>
      </c>
      <c r="D297" s="21" t="str"/>
      <c r="E297" s="21" t="str"/>
    </row>
    <row r="298" ht="19" customHeight="1">
      <c r="B298" s="23" t="str">
        <v>25 / java</v>
      </c>
      <c r="C298" s="7" t="str">
        <v>    }</v>
      </c>
      <c r="D298" s="7" t="str"/>
      <c r="E298" s="7" t="str"/>
    </row>
    <row r="299" ht="19" customHeight="1">
      <c r="B299" s="24" t="str">
        <v>26 / java</v>
      </c>
      <c r="C299" s="21" t="str">
        <v>}</v>
      </c>
      <c r="D299" s="21" t="str"/>
      <c r="E299" s="21" t="str"/>
    </row>
  </sheetData>
  <pageMargins left="0.25" right="0.25" top="0.35" bottom="0.35" header="0.15" footer="0.15"/>
  <pageSetup paperSize="8" orientation="landscape" fitToWidth="1" fitToHeight="0"/>
</worksheet>
</file>

<file path=xl/worksheets/sheet7.xml><?xml version="1.0" encoding="utf-8"?>
<worksheet xmlns="http://schemas.openxmlformats.org/spreadsheetml/2006/main">
  <sheetPr>
    <pageSetUpPr fitToPage="1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30" hidden="0" customWidth="1"/>
    <col min="3" max="3" width="72" hidden="0" customWidth="1"/>
    <col min="4" max="4" width="61" hidden="0" customWidth="1"/>
    <col min="5" max="5" width="18" hidden="0" customWidth="1"/>
    <col min="6" max="6" width="3" hidden="0" customWidth="1"/>
  </cols>
  <sheetData>
    <row r="2" ht="30" customHeight="1">
      <c r="B2" s="2" t="str">
        <v>06 JMeter手順</v>
      </c>
    </row>
    <row r="3" ht="23" customHeight="1">
      <c r="B3" s="3"/>
      <c r="C3" s="4" t="str">
        <v>調査基準日：2026-10-18</v>
      </c>
      <c r="D3" s="3"/>
      <c r="E3" s="3"/>
    </row>
    <row r="4" ht="47" customHeight="1">
      <c r="C4" s="7" t="str">
        <v>配布するprivate-m2m.jmxは標準プラグインだけを使うJSR223方式。Java 11以上が必要。この環境ではJava 17を確認。GUIは編集用、本番負荷はCLIで実行する。</v>
      </c>
    </row>
    <row r="6" ht="25" customHeight="1">
      <c r="B6" s="13" t="str">
        <v>手順と試験設計</v>
      </c>
      <c r="C6" s="14"/>
      <c r="D6" s="14"/>
      <c r="E6" s="14"/>
    </row>
    <row r="7" ht="28" customHeight="1">
      <c r="B7" s="19" t="str">
        <v>項目</v>
      </c>
      <c r="C7" s="19" t="str">
        <v>意味・判断根拠</v>
      </c>
      <c r="D7" s="19" t="str">
        <v>設定・運用への反映</v>
      </c>
      <c r="E7" s="19" t="str">
        <v>根拠</v>
      </c>
    </row>
    <row r="8" ht="40" customHeight="1">
      <c r="B8" s="20" t="str">
        <v>1.配布物をそろえる</v>
      </c>
      <c r="C8" s="7" t="str">
        <v>private-m2m.jmx、jmeter_check.groovy、jmeter_token.groovy、jmeter_api.groovy、jmeter-private.propertiesを同じ作業ディレクトリに置く。</v>
      </c>
      <c r="D8" s="7" t="str">
        <v>実行時のカレントディレクトリもその場所にする。分散実行では全workerへ同じファイルを配る。</v>
      </c>
      <c r="E8" s="7" t="str">
        <v>設計例 S27 S28</v>
      </c>
    </row>
    <row r="9" ht="40" customHeight="1">
      <c r="B9" s="22" t="str">
        <v>2.秘密を注入</v>
      </c>
      <c r="C9" s="21" t="str">
        <v>AWS_REGION、COGNITO_CLIENT_ID、COGNITO_CLIENT_SECRET、COGNITO_SCOPESをworkerのプロセス環境へ設定。</v>
      </c>
      <c r="D9" s="21" t="str">
        <v>secretやtokenを-J/-Gに渡さない。-Gは環境変数を配布しない。ローカル環境変数はリモートworkerへ自動継承されない。</v>
      </c>
      <c r="E9" s="21" t="str">
        <v>設計例 S28</v>
      </c>
    </row>
    <row r="10" ht="55" customHeight="1">
      <c r="B10" s="20" t="str">
        <v>3.宛先を設定</v>
      </c>
      <c r="C10" s="7" t="str">
        <v>propertiesのapi_hostとapi_pathをPrivate REST APIへ変更。必要ならapi_idとcognito_hostも設定する。</v>
      </c>
      <c r="D10" s="7" t="str">
        <v>api_hostにhttps://やパスを混ぜない。API名のprivate DNS、VPCE名＋x-apigw-api-id、または正しく構成したprivate custom domainを使う。</v>
      </c>
      <c r="E10" s="7" t="str">
        <v>S08 設計例</v>
      </c>
    </row>
    <row r="11" ht="40" customHeight="1">
      <c r="B11" s="22" t="str">
        <v>4.少数で起動</v>
      </c>
      <c r="C11" s="21" t="str">
        <v>threads=1、loops=1でtoken取得とAPIが1回ずつ成功することを確認する。</v>
      </c>
      <c r="D11" s="21" t="str">
        <v>APIは認可付きのGET /test/healthを例示。実環境の安全な検証用メソッドへ置換。実行機の出口を遮断した条件でも確認する。</v>
      </c>
      <c r="E11" s="21" t="str">
        <v>設計提案</v>
      </c>
    </row>
    <row r="12" ht="40" customHeight="1">
      <c r="B12" s="20" t="str">
        <v>5.期限内の再利用</v>
      </c>
      <c r="C12" s="7" t="str">
        <v>Token cache checkは通信せず、varsに保持したtokenと単調時計を確認する。取得が必要なときだけIf Controllerが動く。</v>
      </c>
      <c r="D12" s="7" t="str">
        <v>有効期間の75～80%で更新し、各threadの更新にゆらぎを入れる。各threadのvarsは他threadと共有しない。</v>
      </c>
      <c r="E12" s="7" t="str">
        <v>設計例 S16</v>
      </c>
    </row>
    <row r="13" ht="40" customHeight="1">
      <c r="B13" s="22" t="str">
        <v>6.測定を分ける</v>
      </c>
      <c r="C13" s="21" t="str">
        <v>Token_GetClientTokenとAPI_Privateを別のsamplerラベルで記録する。キャッシュ確認処理は結果集計から除外する。</v>
      </c>
      <c r="D13" s="21" t="str">
        <v>APIのp95／p99と、トークン発行の件数・遅延・失敗を分けて報告。初回のTLS／JITウォームアップも区別する。</v>
      </c>
      <c r="E13" s="21" t="str">
        <v>設計例 S27 S29</v>
      </c>
    </row>
    <row r="14" ht="55" customHeight="1">
      <c r="B14" s="20" t="str">
        <v>JSR223の測定範囲</v>
      </c>
      <c r="C14" s="7" t="str">
        <v>配布例のelapsedはスクリプト処理とHTTP完了までの時間。標準HTTP samplerの接続時間・Latency・送受信バイト数は同じ精度で記録しない。</v>
      </c>
      <c r="D14" s="7" t="str">
        <v>JTLのbytesは抑止メッセージ由来で、実通信量ではない。応答本文は捨てるため業務内容のassertionは別途追加する。API status成功だけで業務正当性まで保証しない。</v>
      </c>
      <c r="E14" s="7" t="str">
        <v>設計例</v>
      </c>
    </row>
    <row r="15" ht="40" customHeight="1">
      <c r="B15" s="22" t="str">
        <v>7.エラー時</v>
      </c>
      <c r="C15" s="21" t="str">
        <v>発行に失敗したthreadは停止する。401後のAPI要求を自動で再送しない。</v>
      </c>
      <c r="D15" s="21" t="str">
        <v>業務の書込要求は二重実行に注意。負荷試験でエラーを隠す再試行を勝手に追加しない。必要なら別シナリオにする。</v>
      </c>
      <c r="E15" s="21" t="str">
        <v>設計例</v>
      </c>
    </row>
    <row r="16" ht="40" customHeight="1">
      <c r="B16" s="20" t="str">
        <v>8.負荷を増やす</v>
      </c>
      <c r="C16" s="7" t="str">
        <v>少数から段階的に増やし、負荷生成機のCPU・メモリ・ネットワークとCognito／APIの制限を監視する。</v>
      </c>
      <c r="D16" s="7" t="str">
        <v>配布例のthread単位cacheではthreads分の初回発行がある。ramp-upを十分に取り、開始時集中を避ける。</v>
      </c>
      <c r="E16" s="7" t="str">
        <v>S17 S29 設計提案</v>
      </c>
    </row>
    <row r="17" ht="40" customHeight="1">
      <c r="B17" s="22" t="str">
        <v>9.長時間試験</v>
      </c>
      <c r="C17" s="21" t="str">
        <v>token寿命を超えて継続し、2回目以降の取得と認可が成功するか確認する。</v>
      </c>
      <c r="D17" s="21" t="str">
        <v>数分の試験だけでは更新処理を検証できない。期限・時刻ずれ・更新時障害を別々に試す。</v>
      </c>
      <c r="E17" s="21" t="str">
        <v>設計提案</v>
      </c>
    </row>
    <row r="18" ht="40" customHeight="1">
      <c r="B18" s="20" t="str">
        <v>10.分散実行</v>
      </c>
      <c r="C18" s="7" t="str">
        <v>各workerがprivate DNSと両VPCEへ到達できる必要がある。JMeter controllerだけの疎通では不足。</v>
      </c>
      <c r="D18" s="7" t="str">
        <v>RMIの暗号化と必要ポートを設計。各workerのキャッシュとsecretを分離。propsも通常はJVM単位であり全worker共有ではない。</v>
      </c>
      <c r="E18" s="7" t="str">
        <v>S28 S30</v>
      </c>
    </row>
    <row r="20" ht="25" customHeight="1">
      <c r="B20" s="13" t="str">
        <v>Windowsからの起動例（秘密は安全に注入済み）</v>
      </c>
      <c r="C20" s="14"/>
      <c r="D20" s="14"/>
      <c r="E20" s="14"/>
    </row>
    <row r="21" ht="28" customHeight="1">
      <c r="B21" s="19" t="str">
        <v>行／言語</v>
      </c>
      <c r="C21" s="19" t="str">
        <v>コード（折り返し表示）</v>
      </c>
      <c r="D21" s="19" t="str"/>
      <c r="E21" s="19" t="str"/>
    </row>
    <row r="22" ht="33" customHeight="1">
      <c r="B22" s="23" t="str">
        <v>1 / powershell</v>
      </c>
      <c r="C22" s="7" t="str">
        <v># examplesディレクトリをカレントにする。jmeter.batは実インストール先へ置換。</v>
      </c>
      <c r="D22" s="7" t="str"/>
      <c r="E22" s="7" t="str"/>
    </row>
    <row r="23" ht="19" customHeight="1">
      <c r="B23" s="24" t="str">
        <v>2 / powershell</v>
      </c>
      <c r="C23" s="21" t="str">
        <v>&amp; 'C:\tools\apache-jmeter\bin\jmeter.bat' -n `</v>
      </c>
      <c r="D23" s="21" t="str"/>
      <c r="E23" s="21" t="str"/>
    </row>
    <row r="24" ht="19" customHeight="1">
      <c r="B24" s="23" t="str">
        <v>3 / powershell</v>
      </c>
      <c r="C24" s="7" t="str">
        <v>  -t .\private-m2m.jmx -q .\jmeter-private.properties `</v>
      </c>
      <c r="D24" s="7" t="str"/>
      <c r="E24" s="7" t="str"/>
    </row>
    <row r="25" ht="19" customHeight="1">
      <c r="B25" s="24" t="str">
        <v>4 / powershell</v>
      </c>
      <c r="C25" s="21" t="str">
        <v>  -l .\result.jtl -j .\jmeter.log</v>
      </c>
      <c r="D25" s="21" t="str"/>
      <c r="E25" s="21" t="str"/>
    </row>
    <row r="26" ht="19" customHeight="1">
      <c r="B26" s="23" t="str">
        <v>5 / powershell</v>
      </c>
      <c r="C26" s="7" t="str">
        <v>if ($LASTEXITCODE -ne 0) { throw 'JMeter process failed' }</v>
      </c>
      <c r="D26" s="7" t="str"/>
      <c r="E26" s="7" t="str"/>
    </row>
    <row r="27" ht="19" customHeight="1">
      <c r="B27" s="24" t="str">
        <v>6 / powershell</v>
      </c>
      <c r="C27" s="21" t="str">
        <v># プロセス終了コード0だけではsample成功を意味しない。</v>
      </c>
      <c r="D27" s="21" t="str"/>
      <c r="E27" s="21" t="str"/>
    </row>
    <row r="28" ht="19" customHeight="1">
      <c r="B28" s="23" t="str">
        <v>7 / powershell</v>
      </c>
      <c r="C28" s="7" t="str">
        <v># result.jtlのsuccess列、error率、responseCodeも確認する。</v>
      </c>
      <c r="D28" s="7" t="str"/>
      <c r="E28" s="7" t="str"/>
    </row>
    <row r="30" ht="25" customHeight="1">
      <c r="B30" s="13" t="str">
        <v>Linuxからの起動例</v>
      </c>
      <c r="C30" s="14"/>
      <c r="D30" s="14"/>
      <c r="E30" s="14"/>
    </row>
    <row r="31" ht="28" customHeight="1">
      <c r="B31" s="19" t="str">
        <v>行／言語</v>
      </c>
      <c r="C31" s="19" t="str">
        <v>コード（折り返し表示）</v>
      </c>
      <c r="D31" s="19" t="str"/>
      <c r="E31" s="19" t="str"/>
    </row>
    <row r="32" ht="19" customHeight="1">
      <c r="B32" s="23" t="str">
        <v>1 / bash</v>
      </c>
      <c r="C32" s="7" t="str">
        <v># examplesディレクトリで実行。実secretをexportコマンド履歴へ書かない。</v>
      </c>
      <c r="D32" s="7" t="str"/>
      <c r="E32" s="7" t="str"/>
    </row>
    <row r="33" ht="19" customHeight="1">
      <c r="B33" s="24" t="str">
        <v>2 / bash</v>
      </c>
      <c r="C33" s="21" t="str">
        <v>jmeter -n -t private-m2m.jmx -q jmeter-private.properties \</v>
      </c>
      <c r="D33" s="21" t="str"/>
      <c r="E33" s="21" t="str"/>
    </row>
    <row r="34" ht="19" customHeight="1">
      <c r="B34" s="23" t="str">
        <v>3 / bash</v>
      </c>
      <c r="C34" s="7" t="str">
        <v>  -l result.jtl -j jmeter.log</v>
      </c>
      <c r="D34" s="7" t="str"/>
      <c r="E34" s="7" t="str"/>
    </row>
    <row r="35" ht="19" customHeight="1">
      <c r="B35" s="24" t="str">
        <v>4 / bash</v>
      </c>
      <c r="C35" s="21" t="str">
        <v># 大量負荷時にView Results Treeや応答本文の記録を有効にしない。</v>
      </c>
      <c r="D35" s="21" t="str"/>
      <c r="E35" s="21" t="str"/>
    </row>
    <row r="37" ht="25" customHeight="1">
      <c r="B37" s="13" t="str">
        <v>標準HTTP Requestでも取得する場合の具体的設定</v>
      </c>
      <c r="C37" s="14"/>
      <c r="D37" s="14"/>
      <c r="E37" s="14"/>
    </row>
    <row r="38" ht="28" customHeight="1">
      <c r="B38" s="19" t="str">
        <v>項目</v>
      </c>
      <c r="C38" s="19" t="str">
        <v>意味・判断根拠</v>
      </c>
      <c r="D38" s="19" t="str">
        <v>設定・運用への反映</v>
      </c>
      <c r="E38" s="19" t="str">
        <v>根拠</v>
      </c>
    </row>
    <row r="39" ht="40" customHeight="1">
      <c r="B39" s="20" t="str">
        <v>Protocol / Server / Port / Path</v>
      </c>
      <c r="C39" s="7" t="str">
        <v>https / cognito-idp.ap-northeast-1.amazonaws.com / 443 / /</v>
      </c>
      <c r="D39" s="7" t="str">
        <v>private DNSでCognito VPCEへ向くことをworkerから確認。Follow Redirectsと自動redirectは無効。</v>
      </c>
      <c r="E39" s="7" t="str">
        <v>S02 S27</v>
      </c>
    </row>
    <row r="40" ht="40" customHeight="1">
      <c r="B40" s="22" t="str">
        <v>Methodと本文</v>
      </c>
      <c r="C40" s="21" t="str">
        <v>POST。Body DataにJsonOutput等で生成したClientId / Secret / ScopesのJSONを置く。</v>
      </c>
      <c r="D40" s="21" t="str">
        <v>Parametersタブのフォーム送信にしない。secretをJMXへ保存せず、JSR223でSystem.getenvから読みJSON文字列を作る。</v>
      </c>
      <c r="E40" s="21" t="str">
        <v>S02 S27</v>
      </c>
    </row>
    <row r="41" ht="40" customHeight="1">
      <c r="B41" s="20" t="str">
        <v>Header Manager</v>
      </c>
      <c r="C41" s="7" t="str">
        <v>Content-Type: application/x-amz-json-1.1、X-Amz-Target: AWSCognitoIdentityProviderService.GetClientToken</v>
      </c>
      <c r="D41" s="7" t="str">
        <v>GetClientTokenにBasicやSigV4ヘッダーは不要。業務API用Bearerをトークンsamplerへ全体適用しない。</v>
      </c>
      <c r="E41" s="7" t="str">
        <v>S02</v>
      </c>
    </row>
    <row r="42" ht="40" customHeight="1">
      <c r="B42" s="22" t="str">
        <v>JSON Extractor</v>
      </c>
      <c r="C42" s="21" t="str">
        <v>access_token = $.ClientAuthenticationResult.AccessToken、ttl = $.ClientAuthenticationResult.ExpiresIn</v>
      </c>
      <c r="D42" s="21" t="str">
        <v>Match No.=1、Default=__MISSING__。HTTP 200だけで成功とせず、tokenとTTLの存在もassertする。</v>
      </c>
      <c r="E42" s="21" t="str">
        <v>S02 S27</v>
      </c>
    </row>
    <row r="43" ht="40" customHeight="1">
      <c r="B43" s="20" t="str">
        <v>API用Header Manager</v>
      </c>
      <c r="C43" s="7" t="str">
        <v>Authorization: Bearer ${access_token}。必要な場合だけx-apigw-api-idを設定。</v>
      </c>
      <c r="D43" s="7" t="str">
        <v>AuthorizationはAPI sampler配下に置く。トークン取得とAPIのヘッダーを混在させない。</v>
      </c>
      <c r="E43" s="7" t="str">
        <v>S08 S27</v>
      </c>
    </row>
    <row r="44" ht="40" customHeight="1">
      <c r="B44" s="22" t="str">
        <v>試験の継続</v>
      </c>
      <c r="C44" s="21" t="str">
        <v>Once Only Controllerだけなら、長時間試験でtokenが失効する。</v>
      </c>
      <c r="D44" s="21" t="str">
        <v>各ループで更新時刻を判定してIf Controllerで再取得。JSON抽出失敗時は古いtokenを残さずthreadを停止する。</v>
      </c>
      <c r="E44" s="21" t="str">
        <v>設計例 S27</v>
      </c>
    </row>
    <row r="45" ht="55" customHeight="1">
      <c r="B45" s="20" t="str">
        <v>TLSの注意</v>
      </c>
      <c r="C45" s="7" t="str">
        <v>公式説明では標準HTTP samplerは有効性を含め広く証明書を受け入れる。成功だけではTLS相手の正当性の証拠にならない。</v>
      </c>
      <c r="D45" s="7" t="str">
        <v>配布例は別途初期化したJava標準SSLContextとHTTPSホスト名検証を使用。JMeterのtruststore設定だけで標準samplerの厳格検証を保証したと書かない。</v>
      </c>
      <c r="E45" s="7" t="str">
        <v>S28 設計例</v>
      </c>
    </row>
    <row r="47" ht="25" customHeight="1">
      <c r="B47" s="13" t="str">
        <v>配布JMXの構造</v>
      </c>
      <c r="C47" s="14"/>
      <c r="D47" s="14"/>
      <c r="E47" s="14"/>
    </row>
    <row r="48" ht="28" customHeight="1">
      <c r="B48" s="19" t="str">
        <v>行／言語</v>
      </c>
      <c r="C48" s="19" t="str">
        <v>コード（折り返し表示）</v>
      </c>
      <c r="D48" s="19" t="str"/>
      <c r="E48" s="19" t="str"/>
    </row>
    <row r="49" ht="19" customHeight="1">
      <c r="B49" s="23" t="str">
        <v>1 / text</v>
      </c>
      <c r="C49" s="7" t="str">
        <v>Test Plan</v>
      </c>
      <c r="D49" s="7" t="str"/>
      <c r="E49" s="7" t="str"/>
    </row>
    <row r="50" ht="19" customHeight="1">
      <c r="B50" s="24" t="str">
        <v>2 / text</v>
      </c>
      <c r="C50" s="21" t="str">
        <v>  Thread Group（on_sample_error = stopthread）</v>
      </c>
      <c r="D50" s="21" t="str"/>
      <c r="E50" s="21" t="str"/>
    </row>
    <row r="51" ht="19" customHeight="1">
      <c r="B51" s="23" t="str">
        <v>3 / text</v>
      </c>
      <c r="C51" s="7" t="str">
        <v>    JSR223: Token cache check（通信なし、結果非集計）</v>
      </c>
      <c r="D51" s="7" t="str"/>
      <c r="E51" s="7" t="str"/>
    </row>
    <row r="52" ht="19" customHeight="1">
      <c r="B52" s="24" t="str">
        <v>4 / text</v>
      </c>
      <c r="C52" s="21" t="str">
        <v>    If Controller: ${need_token}</v>
      </c>
      <c r="D52" s="21" t="str"/>
      <c r="E52" s="21" t="str"/>
    </row>
    <row r="53" ht="19" customHeight="1">
      <c r="B53" s="23" t="str">
        <v>5 / text</v>
      </c>
      <c r="C53" s="7" t="str">
        <v>      JSR223: Token_GetClientToken（TLS検証あり、token応答は非記録）</v>
      </c>
      <c r="D53" s="7" t="str"/>
      <c r="E53" s="7" t="str"/>
    </row>
    <row r="54" ht="19" customHeight="1">
      <c r="B54" s="24" t="str">
        <v>6 / text</v>
      </c>
      <c r="C54" s="21" t="str">
        <v>    JSR223: API_Private（Bearer、TLS検証あり、応答本文は非記録）</v>
      </c>
      <c r="D54" s="21" t="str"/>
      <c r="E54" s="21" t="str"/>
    </row>
    <row r="56" ht="25" customHeight="1">
      <c r="B56" s="13" t="str">
        <v>jmeter_check.groovy</v>
      </c>
      <c r="C56" s="14"/>
      <c r="D56" s="14"/>
      <c r="E56" s="14"/>
    </row>
    <row r="57" ht="28" customHeight="1">
      <c r="B57" s="19" t="str">
        <v>行／言語</v>
      </c>
      <c r="C57" s="19" t="str">
        <v>コード（折り返し表示）</v>
      </c>
      <c r="D57" s="19" t="str"/>
      <c r="E57" s="19" t="str"/>
    </row>
    <row r="58" ht="33" customHeight="1">
      <c r="B58" s="23" t="str">
        <v>1 / groovy</v>
      </c>
      <c r="C58" s="7" t="str">
        <v>// JSR223 / Groovy. Script variables are accessed through vars/props, not substitution.</v>
      </c>
      <c r="D58" s="7" t="str"/>
      <c r="E58" s="7" t="str"/>
    </row>
    <row r="59" ht="19" customHeight="1">
      <c r="B59" s="24" t="str">
        <v>2 / groovy</v>
      </c>
      <c r="C59" s="21" t="str">
        <v>import java.net.Proxy</v>
      </c>
      <c r="D59" s="21" t="str"/>
      <c r="E59" s="21" t="str"/>
    </row>
    <row r="60" ht="19" customHeight="1">
      <c r="B60" s="23" t="str">
        <v>3 / groovy</v>
      </c>
      <c r="C60" s="7" t="str">
        <v>import java.net.ProxySelector</v>
      </c>
      <c r="D60" s="7" t="str"/>
      <c r="E60" s="7" t="str"/>
    </row>
    <row r="61" ht="19" customHeight="1">
      <c r="B61" s="24" t="str">
        <v>4 / groovy</v>
      </c>
      <c r="C61" s="21" t="str">
        <v>import java.net.URI</v>
      </c>
      <c r="D61" s="21" t="str"/>
      <c r="E61" s="21" t="str"/>
    </row>
    <row r="62" ht="19" customHeight="1">
      <c r="B62" s="23" t="str">
        <v>5 / groovy</v>
      </c>
      <c r="C62" s="7" t="str">
        <v>import java.net.SocketAddress</v>
      </c>
      <c r="D62" s="7" t="str"/>
      <c r="E62" s="7" t="str"/>
    </row>
    <row r="63" ht="19" customHeight="1">
      <c r="B63" s="24" t="str">
        <v>6 / groovy</v>
      </c>
      <c r="C63" s="21" t="str">
        <v>import java.net.http.HttpClient</v>
      </c>
      <c r="D63" s="21" t="str"/>
      <c r="E63" s="21" t="str"/>
    </row>
    <row r="64" ht="19" customHeight="1">
      <c r="B64" s="23" t="str">
        <v>7 / groovy</v>
      </c>
      <c r="C64" s="7" t="str">
        <v>import javax.net.ssl.SSLContext</v>
      </c>
      <c r="D64" s="7" t="str"/>
      <c r="E64" s="7" t="str"/>
    </row>
    <row r="65" ht="19" customHeight="1">
      <c r="B65" s="24" t="str">
        <v>8 / groovy</v>
      </c>
      <c r="C65" s="21" t="str">
        <v>import javax.net.ssl.SSLParameters</v>
      </c>
      <c r="D65" s="21" t="str"/>
      <c r="E65" s="21" t="str"/>
    </row>
    <row r="66" ht="19" customHeight="1">
      <c r="B66" s="23" t="str">
        <v>9 / groovy</v>
      </c>
      <c r="C66" s="7" t="str"/>
      <c r="D66" s="7" t="str"/>
      <c r="E66" s="7" t="str"/>
    </row>
    <row r="67" ht="19" customHeight="1">
      <c r="B67" s="24" t="str">
        <v>10 / groovy</v>
      </c>
      <c r="C67" s="21" t="str">
        <v>try {</v>
      </c>
      <c r="D67" s="21" t="str"/>
      <c r="E67" s="21" t="str"/>
    </row>
    <row r="68" ht="19" customHeight="1">
      <c r="B68" s="23" t="str">
        <v>11 / groovy</v>
      </c>
      <c r="C68" s="7" t="str">
        <v>    if (vars.getObject('strictHttpClient') == null) {</v>
      </c>
      <c r="D68" s="7" t="str"/>
      <c r="E68" s="7" t="str"/>
    </row>
    <row r="69" ht="33" customHeight="1">
      <c r="B69" s="24" t="str">
        <v>12 / groovy</v>
      </c>
      <c r="C69" s="21" t="str">
        <v>        ['AWS_REGION', 'COGNITO_CLIENT_ID', 'COGNITO_CLIENT_SECRET', 'COGNITO_SCOPES'].each { n -&gt;</v>
      </c>
      <c r="D69" s="21" t="str"/>
      <c r="E69" s="21" t="str"/>
    </row>
    <row r="70" ht="33" customHeight="1">
      <c r="B70" s="23" t="str">
        <v>13 / groovy</v>
      </c>
      <c r="C70" s="7" t="str">
        <v>            if (!System.getenv(n)?.trim()) throw new IllegalArgumentException('Missing setting: ' + n)</v>
      </c>
      <c r="D70" s="7" t="str"/>
      <c r="E70" s="7" t="str"/>
    </row>
    <row r="71" ht="19" customHeight="1">
      <c r="B71" s="24" t="str">
        <v>14 / groovy</v>
      </c>
      <c r="C71" s="21" t="str">
        <v>        }</v>
      </c>
      <c r="D71" s="21" t="str"/>
      <c r="E71" s="21" t="str"/>
    </row>
    <row r="72" ht="19" customHeight="1">
      <c r="B72" s="23" t="str">
        <v>15 / groovy</v>
      </c>
      <c r="C72" s="7" t="str">
        <v>        def ssl = SSLContext.getInstance('TLS')</v>
      </c>
      <c r="D72" s="7" t="str"/>
      <c r="E72" s="7" t="str"/>
    </row>
    <row r="73" ht="33" customHeight="1">
      <c r="B73" s="24" t="str">
        <v>16 / groovy</v>
      </c>
      <c r="C73" s="21" t="str">
        <v>        ssl.init(null, null, null) // Platform trust managers; no trust-all manager.</v>
      </c>
      <c r="D73" s="21" t="str"/>
      <c r="E73" s="21" t="str"/>
    </row>
    <row r="74" ht="19" customHeight="1">
      <c r="B74" s="23" t="str">
        <v>17 / groovy</v>
      </c>
      <c r="C74" s="7" t="str">
        <v>        def parameters = new SSLParameters()</v>
      </c>
      <c r="D74" s="7" t="str"/>
      <c r="E74" s="7" t="str"/>
    </row>
    <row r="75" ht="19" customHeight="1">
      <c r="B75" s="24" t="str">
        <v>18 / groovy</v>
      </c>
      <c r="C75" s="21" t="str">
        <v>        parameters.setEndpointIdentificationAlgorithm('HTTPS')</v>
      </c>
      <c r="D75" s="21" t="str"/>
      <c r="E75" s="21" t="str"/>
    </row>
    <row r="76" ht="19" customHeight="1">
      <c r="B76" s="23" t="str">
        <v>19 / groovy</v>
      </c>
      <c r="C76" s="7" t="str">
        <v>        def noProxy = new ProxySelector() {</v>
      </c>
      <c r="D76" s="7" t="str"/>
      <c r="E76" s="7" t="str"/>
    </row>
    <row r="77" ht="19" customHeight="1">
      <c r="B77" s="24" t="str">
        <v>20 / groovy</v>
      </c>
      <c r="C77" s="21" t="str">
        <v>            List&lt;Proxy&gt; select(URI uri) { return [Proxy.NO_PROXY] }</v>
      </c>
      <c r="D77" s="21" t="str"/>
      <c r="E77" s="21" t="str"/>
    </row>
    <row r="78" ht="33" customHeight="1">
      <c r="B78" s="23" t="str">
        <v>21 / groovy</v>
      </c>
      <c r="C78" s="7" t="str">
        <v>            void connectFailed(URI uri, SocketAddress address, IOException error) { }</v>
      </c>
      <c r="D78" s="7" t="str"/>
      <c r="E78" s="7" t="str"/>
    </row>
    <row r="79" ht="19" customHeight="1">
      <c r="B79" s="24" t="str">
        <v>22 / groovy</v>
      </c>
      <c r="C79" s="21" t="str">
        <v>        }</v>
      </c>
      <c r="D79" s="21" t="str"/>
      <c r="E79" s="21" t="str"/>
    </row>
    <row r="80" ht="33" customHeight="1">
      <c r="B80" s="23" t="str">
        <v>23 / groovy</v>
      </c>
      <c r="C80" s="7" t="str">
        <v>        def client = HttpClient.newBuilder().sslContext(ssl).sslParameters(parameters)</v>
      </c>
      <c r="D80" s="7" t="str"/>
      <c r="E80" s="7" t="str"/>
    </row>
    <row r="81" ht="33" customHeight="1">
      <c r="B81" s="24" t="str">
        <v>24 / groovy</v>
      </c>
      <c r="C81" s="21" t="str">
        <v>            .proxy(noProxy).connectTimeout(java.time.Duration.ofSeconds(5))</v>
      </c>
      <c r="D81" s="21" t="str"/>
      <c r="E81" s="21" t="str"/>
    </row>
    <row r="82" ht="19" customHeight="1">
      <c r="B82" s="23" t="str">
        <v>25 / groovy</v>
      </c>
      <c r="C82" s="7" t="str">
        <v>            .followRedirects(HttpClient.Redirect.NEVER).build()</v>
      </c>
      <c r="D82" s="7" t="str"/>
      <c r="E82" s="7" t="str"/>
    </row>
    <row r="83" ht="19" customHeight="1">
      <c r="B83" s="24" t="str">
        <v>26 / groovy</v>
      </c>
      <c r="C83" s="21" t="str">
        <v>        vars.putObject('strictHttpClient', client)</v>
      </c>
      <c r="D83" s="21" t="str"/>
      <c r="E83" s="21" t="str"/>
    </row>
    <row r="84" ht="19" customHeight="1">
      <c r="B84" s="23" t="str">
        <v>27 / groovy</v>
      </c>
      <c r="C84" s="7" t="str">
        <v>        vars.put('refreshAtNs', '0')</v>
      </c>
      <c r="D84" s="7" t="str"/>
      <c r="E84" s="7" t="str"/>
    </row>
    <row r="85" ht="19" customHeight="1">
      <c r="B85" s="24" t="str">
        <v>28 / groovy</v>
      </c>
      <c r="C85" s="21" t="str">
        <v>    }</v>
      </c>
      <c r="D85" s="21" t="str"/>
      <c r="E85" s="21" t="str"/>
    </row>
    <row r="86" ht="19" customHeight="1">
      <c r="B86" s="23" t="str">
        <v>29 / groovy</v>
      </c>
      <c r="C86" s="7" t="str">
        <v>    def refresh = !vars.get('access_token') ||</v>
      </c>
      <c r="D86" s="7" t="str"/>
      <c r="E86" s="7" t="str"/>
    </row>
    <row r="87" ht="19" customHeight="1">
      <c r="B87" s="24" t="str">
        <v>30 / groovy</v>
      </c>
      <c r="C87" s="21" t="str">
        <v>        System.nanoTime() &gt;= Long.parseLong(vars.get('refreshAtNs'))</v>
      </c>
      <c r="D87" s="21" t="str"/>
      <c r="E87" s="21" t="str"/>
    </row>
    <row r="88" ht="19" customHeight="1">
      <c r="B88" s="23" t="str">
        <v>31 / groovy</v>
      </c>
      <c r="C88" s="7" t="str">
        <v>    vars.put('need_token', refresh.toString())</v>
      </c>
      <c r="D88" s="7" t="str"/>
      <c r="E88" s="7" t="str"/>
    </row>
    <row r="89" ht="19" customHeight="1">
      <c r="B89" s="24" t="str">
        <v>32 / groovy</v>
      </c>
      <c r="C89" s="21" t="str">
        <v>    SampleResult.setIgnore()</v>
      </c>
      <c r="D89" s="21" t="str"/>
      <c r="E89" s="21" t="str"/>
    </row>
    <row r="90" ht="19" customHeight="1">
      <c r="B90" s="23" t="str">
        <v>33 / groovy</v>
      </c>
      <c r="C90" s="7" t="str">
        <v>} catch (Exception e) {</v>
      </c>
      <c r="D90" s="7" t="str"/>
      <c r="E90" s="7" t="str"/>
    </row>
    <row r="91" ht="19" customHeight="1">
      <c r="B91" s="24" t="str">
        <v>34 / groovy</v>
      </c>
      <c r="C91" s="21" t="str">
        <v>    vars.remove('access_token')</v>
      </c>
      <c r="D91" s="21" t="str"/>
      <c r="E91" s="21" t="str"/>
    </row>
    <row r="92" ht="19" customHeight="1">
      <c r="B92" s="23" t="str">
        <v>35 / groovy</v>
      </c>
      <c r="C92" s="7" t="str">
        <v>    SampleResult.setSuccessful(false)</v>
      </c>
      <c r="D92" s="7" t="str"/>
      <c r="E92" s="7" t="str"/>
    </row>
    <row r="93" ht="19" customHeight="1">
      <c r="B93" s="24" t="str">
        <v>36 / groovy</v>
      </c>
      <c r="C93" s="21" t="str">
        <v>    SampleResult.setResponseCode('CONFIG_ERROR')</v>
      </c>
      <c r="D93" s="21" t="str"/>
      <c r="E93" s="21" t="str"/>
    </row>
    <row r="94" ht="19" customHeight="1">
      <c r="B94" s="23" t="str">
        <v>37 / groovy</v>
      </c>
      <c r="C94" s="7" t="str">
        <v>    SampleResult.setResponseMessage(e.getClass().getSimpleName())</v>
      </c>
      <c r="D94" s="7" t="str"/>
      <c r="E94" s="7" t="str"/>
    </row>
    <row r="95" ht="19" customHeight="1">
      <c r="B95" s="24" t="str">
        <v>38 / groovy</v>
      </c>
      <c r="C95" s="21" t="str">
        <v>    SampleResult.setStopThread(true)</v>
      </c>
      <c r="D95" s="21" t="str"/>
      <c r="E95" s="21" t="str"/>
    </row>
    <row r="96" ht="19" customHeight="1">
      <c r="B96" s="23" t="str">
        <v>39 / groovy</v>
      </c>
      <c r="C96" s="7" t="str">
        <v>}</v>
      </c>
      <c r="D96" s="7" t="str"/>
      <c r="E96" s="7" t="str"/>
    </row>
    <row r="98" ht="25" customHeight="1">
      <c r="B98" s="13" t="str">
        <v>jmeter_token.groovy</v>
      </c>
      <c r="C98" s="14"/>
      <c r="D98" s="14"/>
      <c r="E98" s="14"/>
    </row>
    <row r="99" ht="28" customHeight="1">
      <c r="B99" s="19" t="str">
        <v>行／言語</v>
      </c>
      <c r="C99" s="19" t="str">
        <v>コード（折り返し表示）</v>
      </c>
      <c r="D99" s="19" t="str"/>
      <c r="E99" s="19" t="str"/>
    </row>
    <row r="100" ht="19" customHeight="1">
      <c r="B100" s="23" t="str">
        <v>1 / groovy</v>
      </c>
      <c r="C100" s="7" t="str">
        <v>import groovy.json.JsonOutput</v>
      </c>
      <c r="D100" s="7" t="str"/>
      <c r="E100" s="7" t="str"/>
    </row>
    <row r="101" ht="19" customHeight="1">
      <c r="B101" s="24" t="str">
        <v>2 / groovy</v>
      </c>
      <c r="C101" s="21" t="str">
        <v>import groovy.json.JsonSlurper</v>
      </c>
      <c r="D101" s="21" t="str"/>
      <c r="E101" s="21" t="str"/>
    </row>
    <row r="102" ht="19" customHeight="1">
      <c r="B102" s="23" t="str">
        <v>3 / groovy</v>
      </c>
      <c r="C102" s="7" t="str">
        <v>import java.net.URI</v>
      </c>
      <c r="D102" s="7" t="str"/>
      <c r="E102" s="7" t="str"/>
    </row>
    <row r="103" ht="19" customHeight="1">
      <c r="B103" s="24" t="str">
        <v>4 / groovy</v>
      </c>
      <c r="C103" s="21" t="str">
        <v>import java.net.http.HttpRequest</v>
      </c>
      <c r="D103" s="21" t="str"/>
      <c r="E103" s="21" t="str"/>
    </row>
    <row r="104" ht="19" customHeight="1">
      <c r="B104" s="23" t="str">
        <v>5 / groovy</v>
      </c>
      <c r="C104" s="7" t="str">
        <v>import java.net.http.HttpResponse</v>
      </c>
      <c r="D104" s="7" t="str"/>
      <c r="E104" s="7" t="str"/>
    </row>
    <row r="105" ht="19" customHeight="1">
      <c r="B105" s="24" t="str">
        <v>6 / groovy</v>
      </c>
      <c r="C105" s="21" t="str">
        <v>import java.nio.charset.StandardCharsets</v>
      </c>
      <c r="D105" s="21" t="str"/>
      <c r="E105" s="21" t="str"/>
    </row>
    <row r="106" ht="19" customHeight="1">
      <c r="B106" s="23" t="str">
        <v>7 / groovy</v>
      </c>
      <c r="C106" s="7" t="str">
        <v>import java.time.Duration</v>
      </c>
      <c r="D106" s="7" t="str"/>
      <c r="E106" s="7" t="str"/>
    </row>
    <row r="107" ht="19" customHeight="1">
      <c r="B107" s="24" t="str">
        <v>8 / groovy</v>
      </c>
      <c r="C107" s="21" t="str">
        <v>import java.util.concurrent.ThreadLocalRandom</v>
      </c>
      <c r="D107" s="21" t="str"/>
      <c r="E107" s="21" t="str"/>
    </row>
    <row r="108" ht="19" customHeight="1">
      <c r="B108" s="23" t="str">
        <v>9 / groovy</v>
      </c>
      <c r="C108" s="7" t="str"/>
      <c r="D108" s="7" t="str"/>
      <c r="E108" s="7" t="str"/>
    </row>
    <row r="109" ht="19" customHeight="1">
      <c r="B109" s="24" t="str">
        <v>10 / groovy</v>
      </c>
      <c r="C109" s="21" t="str">
        <v>try {</v>
      </c>
      <c r="D109" s="21" t="str"/>
      <c r="E109" s="21" t="str"/>
    </row>
    <row r="110" ht="19" customHeight="1">
      <c r="B110" s="23" t="str">
        <v>11 / groovy</v>
      </c>
      <c r="C110" s="7" t="str">
        <v>    def host = props.getProperty('cognito_host', '').trim()</v>
      </c>
      <c r="D110" s="7" t="str"/>
      <c r="E110" s="7" t="str"/>
    </row>
    <row r="111" ht="33" customHeight="1">
      <c r="B111" s="24" t="str">
        <v>12 / groovy</v>
      </c>
      <c r="C111" s="21" t="str">
        <v>    if (!host) host = 'cognito-idp.' + System.getenv('AWS_REGION') + '.amazonaws.com'</v>
      </c>
      <c r="D111" s="21" t="str"/>
      <c r="E111" s="21" t="str"/>
    </row>
    <row r="112" ht="33" customHeight="1">
      <c r="B112" s="23" t="str">
        <v>13 / groovy</v>
      </c>
      <c r="C112" s="7" t="str">
        <v>    // These are reviewed configuration values; never take them from an API response.</v>
      </c>
      <c r="D112" s="7" t="str"/>
      <c r="E112" s="7" t="str"/>
    </row>
    <row r="113" ht="33" customHeight="1">
      <c r="B113" s="24" t="str">
        <v>14 / groovy</v>
      </c>
      <c r="C113" s="21" t="str">
        <v>    if (!(host ==~ /[A-Za-z0-9.-]+/)) throw new IllegalArgumentException('Invalid host')</v>
      </c>
      <c r="D113" s="21" t="str"/>
      <c r="E113" s="21" t="str"/>
    </row>
    <row r="114" ht="19" customHeight="1">
      <c r="B114" s="23" t="str">
        <v>15 / groovy</v>
      </c>
      <c r="C114" s="7" t="str">
        <v>    def payload = JsonOutput.toJson([</v>
      </c>
      <c r="D114" s="7" t="str"/>
      <c r="E114" s="7" t="str"/>
    </row>
    <row r="115" ht="19" customHeight="1">
      <c r="B115" s="24" t="str">
        <v>16 / groovy</v>
      </c>
      <c r="C115" s="21" t="str">
        <v>        ClientId: System.getenv('COGNITO_CLIENT_ID'),</v>
      </c>
      <c r="D115" s="21" t="str"/>
      <c r="E115" s="21" t="str"/>
    </row>
    <row r="116" ht="19" customHeight="1">
      <c r="B116" s="23" t="str">
        <v>17 / groovy</v>
      </c>
      <c r="C116" s="7" t="str">
        <v>        Secret: System.getenv('COGNITO_CLIENT_SECRET'),</v>
      </c>
      <c r="D116" s="7" t="str"/>
      <c r="E116" s="7" t="str"/>
    </row>
    <row r="117" ht="33" customHeight="1">
      <c r="B117" s="24" t="str">
        <v>18 / groovy</v>
      </c>
      <c r="C117" s="21" t="str">
        <v>        Scopes: System.getenv('COGNITO_SCOPES').trim().split(/\s+/).toList()])</v>
      </c>
      <c r="D117" s="21" t="str"/>
      <c r="E117" s="21" t="str"/>
    </row>
    <row r="118" ht="19" customHeight="1">
      <c r="B118" s="23" t="str">
        <v>19 / groovy</v>
      </c>
      <c r="C118" s="7" t="str">
        <v>    long started = System.nanoTime()</v>
      </c>
      <c r="D118" s="7" t="str"/>
      <c r="E118" s="7" t="str"/>
    </row>
    <row r="119" ht="33" customHeight="1">
      <c r="B119" s="24" t="str">
        <v>20 / groovy</v>
      </c>
      <c r="C119" s="21" t="str">
        <v>    def request = HttpRequest.newBuilder(URI.create('https://' + host + '/'))</v>
      </c>
      <c r="D119" s="21" t="str"/>
      <c r="E119" s="21" t="str"/>
    </row>
    <row r="120" ht="19" customHeight="1">
      <c r="B120" s="23" t="str">
        <v>21 / groovy</v>
      </c>
      <c r="C120" s="7" t="str">
        <v>        .timeout(Duration.ofSeconds(15))</v>
      </c>
      <c r="D120" s="7" t="str"/>
      <c r="E120" s="7" t="str"/>
    </row>
    <row r="121" ht="19" customHeight="1">
      <c r="B121" s="24" t="str">
        <v>22 / groovy</v>
      </c>
      <c r="C121" s="21" t="str">
        <v>        .header('Content-Type', 'application/x-amz-json-1.1')</v>
      </c>
      <c r="D121" s="21" t="str"/>
      <c r="E121" s="21" t="str"/>
    </row>
    <row r="122" ht="33" customHeight="1">
      <c r="B122" s="23" t="str">
        <v>23 / groovy</v>
      </c>
      <c r="C122" s="7" t="str">
        <v>        .header('X-Amz-Target', 'AWSCognitoIdentityProviderService.GetClientToken')</v>
      </c>
      <c r="D122" s="7" t="str"/>
      <c r="E122" s="7" t="str"/>
    </row>
    <row r="123" ht="33" customHeight="1">
      <c r="B123" s="24" t="str">
        <v>24 / groovy</v>
      </c>
      <c r="C123" s="21" t="str">
        <v>        .POST(HttpRequest.BodyPublishers.ofString(payload, StandardCharsets.UTF_8)).build()</v>
      </c>
      <c r="D123" s="21" t="str"/>
      <c r="E123" s="21" t="str"/>
    </row>
    <row r="124" ht="19" customHeight="1">
      <c r="B124" s="23" t="str">
        <v>25 / groovy</v>
      </c>
      <c r="C124" s="7" t="str">
        <v>    def response = vars.getObject('strictHttpClient').send(</v>
      </c>
      <c r="D124" s="7" t="str"/>
      <c r="E124" s="7" t="str"/>
    </row>
    <row r="125" ht="33" customHeight="1">
      <c r="B125" s="24" t="str">
        <v>26 / groovy</v>
      </c>
      <c r="C125" s="21" t="str">
        <v>        request, HttpResponse.BodyHandlers.ofString(StandardCharsets.UTF_8))</v>
      </c>
      <c r="D125" s="21" t="str"/>
      <c r="E125" s="21" t="str"/>
    </row>
    <row r="126" ht="33" customHeight="1">
      <c r="B126" s="23" t="str">
        <v>27 / groovy</v>
      </c>
      <c r="C126" s="7" t="str">
        <v>    SampleResult.setResponseCode(Integer.toString(response.statusCode()))</v>
      </c>
      <c r="D126" s="7" t="str"/>
      <c r="E126" s="7" t="str"/>
    </row>
    <row r="127" ht="33" customHeight="1">
      <c r="B127" s="24" t="str">
        <v>28 / groovy</v>
      </c>
      <c r="C127" s="21" t="str">
        <v>    if (response.statusCode() != 200) throw new IllegalStateException('Token request rejected')</v>
      </c>
      <c r="D127" s="21" t="str"/>
      <c r="E127" s="21" t="str"/>
    </row>
    <row r="128" ht="33" customHeight="1">
      <c r="B128" s="23" t="str">
        <v>29 / groovy</v>
      </c>
      <c r="C128" s="7" t="str">
        <v>    def auth = new JsonSlurper().parseText(response.body()).ClientAuthenticationResult</v>
      </c>
      <c r="D128" s="7" t="str"/>
      <c r="E128" s="7" t="str"/>
    </row>
    <row r="129" ht="19" customHeight="1">
      <c r="B129" s="24" t="str">
        <v>30 / groovy</v>
      </c>
      <c r="C129" s="21" t="str">
        <v>    long ttl = (auth.ExpiresIn as Number).longValue()</v>
      </c>
      <c r="D129" s="21" t="str"/>
      <c r="E129" s="21" t="str"/>
    </row>
    <row r="130" ht="33" customHeight="1">
      <c r="B130" s="23" t="str">
        <v>31 / groovy</v>
      </c>
      <c r="C130" s="7" t="str">
        <v>    if (!auth.AccessToken || ttl &lt;= 0 || auth.TokenType?.toLowerCase() != 'bearer') {</v>
      </c>
      <c r="D130" s="7" t="str"/>
      <c r="E130" s="7" t="str"/>
    </row>
    <row r="131" ht="19" customHeight="1">
      <c r="B131" s="24" t="str">
        <v>32 / groovy</v>
      </c>
      <c r="C131" s="21" t="str">
        <v>        throw new IllegalStateException('Invalid token response')</v>
      </c>
      <c r="D131" s="21" t="str"/>
      <c r="E131" s="21" t="str"/>
    </row>
    <row r="132" ht="19" customHeight="1">
      <c r="B132" s="23" t="str">
        <v>33 / groovy</v>
      </c>
      <c r="C132" s="7" t="str">
        <v>    }</v>
      </c>
      <c r="D132" s="7" t="str"/>
      <c r="E132" s="7" t="str"/>
    </row>
    <row r="133" ht="33" customHeight="1">
      <c r="B133" s="24" t="str">
        <v>34 / groovy</v>
      </c>
      <c r="C133" s="21" t="str">
        <v>    double ratio = ThreadLocalRandom.current().nextDouble(0.75d, 0.80d)</v>
      </c>
      <c r="D133" s="21" t="str"/>
      <c r="E133" s="21" t="str"/>
    </row>
    <row r="134" ht="19" customHeight="1">
      <c r="B134" s="23" t="str">
        <v>35 / groovy</v>
      </c>
      <c r="C134" s="7" t="str">
        <v>    long refreshAt = started + (long)(ttl * 1_000_000_000d * ratio)</v>
      </c>
      <c r="D134" s="7" t="str"/>
      <c r="E134" s="7" t="str"/>
    </row>
    <row r="135" ht="33" customHeight="1">
      <c r="B135" s="24" t="str">
        <v>36 / groovy</v>
      </c>
      <c r="C135" s="21" t="str">
        <v>    if (System.nanoTime() &gt;= refreshAt) throw new IllegalStateException('Token arrived too late')</v>
      </c>
      <c r="D135" s="21" t="str"/>
      <c r="E135" s="21" t="str"/>
    </row>
    <row r="136" ht="19" customHeight="1">
      <c r="B136" s="23" t="str">
        <v>37 / groovy</v>
      </c>
      <c r="C136" s="7" t="str">
        <v>    vars.put('access_token', auth.AccessToken as String)</v>
      </c>
      <c r="D136" s="7" t="str"/>
      <c r="E136" s="7" t="str"/>
    </row>
    <row r="137" ht="19" customHeight="1">
      <c r="B137" s="24" t="str">
        <v>38 / groovy</v>
      </c>
      <c r="C137" s="21" t="str">
        <v>    vars.put('refreshAtNs', Long.toString(refreshAt))</v>
      </c>
      <c r="D137" s="21" t="str"/>
      <c r="E137" s="21" t="str"/>
    </row>
    <row r="138" ht="19" customHeight="1">
      <c r="B138" s="23" t="str">
        <v>39 / groovy</v>
      </c>
      <c r="C138" s="7" t="str">
        <v>    SampleResult.setResponseMessage('Token received')</v>
      </c>
      <c r="D138" s="7" t="str"/>
      <c r="E138" s="7" t="str"/>
    </row>
    <row r="139" ht="19" customHeight="1">
      <c r="B139" s="24" t="str">
        <v>40 / groovy</v>
      </c>
      <c r="C139" s="21" t="str">
        <v>    SampleResult.setSuccessful(true)</v>
      </c>
      <c r="D139" s="21" t="str"/>
      <c r="E139" s="21" t="str"/>
    </row>
    <row r="140" ht="19" customHeight="1">
      <c r="B140" s="23" t="str">
        <v>41 / groovy</v>
      </c>
      <c r="C140" s="7" t="str">
        <v>} catch (Exception e) {</v>
      </c>
      <c r="D140" s="7" t="str"/>
      <c r="E140" s="7" t="str"/>
    </row>
    <row r="141" ht="19" customHeight="1">
      <c r="B141" s="24" t="str">
        <v>42 / groovy</v>
      </c>
      <c r="C141" s="21" t="str">
        <v>    vars.remove('access_token')</v>
      </c>
      <c r="D141" s="21" t="str"/>
      <c r="E141" s="21" t="str"/>
    </row>
    <row r="142" ht="19" customHeight="1">
      <c r="B142" s="23" t="str">
        <v>43 / groovy</v>
      </c>
      <c r="C142" s="7" t="str">
        <v>    SampleResult.setSuccessful(false)</v>
      </c>
      <c r="D142" s="7" t="str"/>
      <c r="E142" s="7" t="str"/>
    </row>
    <row r="143" ht="33" customHeight="1">
      <c r="B143" s="24" t="str">
        <v>44 / groovy</v>
      </c>
      <c r="C143" s="21" t="str">
        <v>    if (SampleResult.getResponseCode() == '200' || !SampleResult.getResponseCode()) {</v>
      </c>
      <c r="D143" s="21" t="str"/>
      <c r="E143" s="21" t="str"/>
    </row>
    <row r="144" ht="19" customHeight="1">
      <c r="B144" s="23" t="str">
        <v>45 / groovy</v>
      </c>
      <c r="C144" s="7" t="str">
        <v>        SampleResult.setResponseCode('TOKEN_ERROR')</v>
      </c>
      <c r="D144" s="7" t="str"/>
      <c r="E144" s="7" t="str"/>
    </row>
    <row r="145" ht="19" customHeight="1">
      <c r="B145" s="24" t="str">
        <v>46 / groovy</v>
      </c>
      <c r="C145" s="21" t="str">
        <v>    }</v>
      </c>
      <c r="D145" s="21" t="str"/>
      <c r="E145" s="21" t="str"/>
    </row>
    <row r="146" ht="19" customHeight="1">
      <c r="B146" s="23" t="str">
        <v>47 / groovy</v>
      </c>
      <c r="C146" s="7" t="str">
        <v>    SampleResult.setResponseMessage(e.getClass().getSimpleName())</v>
      </c>
      <c r="D146" s="7" t="str"/>
      <c r="E146" s="7" t="str"/>
    </row>
    <row r="147" ht="19" customHeight="1">
      <c r="B147" s="24" t="str">
        <v>48 / groovy</v>
      </c>
      <c r="C147" s="21" t="str">
        <v>    SampleResult.setStopThread(true)</v>
      </c>
      <c r="D147" s="21" t="str"/>
      <c r="E147" s="21" t="str"/>
    </row>
    <row r="148" ht="19" customHeight="1">
      <c r="B148" s="23" t="str">
        <v>49 / groovy</v>
      </c>
      <c r="C148" s="7" t="str">
        <v>} finally {</v>
      </c>
      <c r="D148" s="7" t="str"/>
      <c r="E148" s="7" t="str"/>
    </row>
    <row r="149" ht="33" customHeight="1">
      <c r="B149" s="24" t="str">
        <v>50 / groovy</v>
      </c>
      <c r="C149" s="21" t="str">
        <v>    // Do not retain credentials or bearer tokens in SampleResult / JTL / listeners.</v>
      </c>
      <c r="D149" s="21" t="str"/>
      <c r="E149" s="21" t="str"/>
    </row>
    <row r="150" ht="19" customHeight="1">
      <c r="B150" s="23" t="str">
        <v>51 / groovy</v>
      </c>
      <c r="C150" s="7" t="str">
        <v>    SampleResult.setResponseData('Token payload suppressed', 'UTF-8')</v>
      </c>
      <c r="D150" s="7" t="str"/>
      <c r="E150" s="7" t="str"/>
    </row>
    <row r="151" ht="19" customHeight="1">
      <c r="B151" s="24" t="str">
        <v>52 / groovy</v>
      </c>
      <c r="C151" s="21" t="str">
        <v>    SampleResult.setSamplerData('GetClientToken payload suppressed')</v>
      </c>
      <c r="D151" s="21" t="str"/>
      <c r="E151" s="21" t="str"/>
    </row>
    <row r="152" ht="19" customHeight="1">
      <c r="B152" s="23" t="str">
        <v>53 / groovy</v>
      </c>
      <c r="C152" s="7" t="str">
        <v>}</v>
      </c>
      <c r="D152" s="7" t="str"/>
      <c r="E152" s="7" t="str"/>
    </row>
    <row r="154" ht="25" customHeight="1">
      <c r="B154" s="13" t="str">
        <v>jmeter_api.groovy</v>
      </c>
      <c r="C154" s="14"/>
      <c r="D154" s="14"/>
      <c r="E154" s="14"/>
    </row>
    <row r="155" ht="28" customHeight="1">
      <c r="B155" s="19" t="str">
        <v>行／言語</v>
      </c>
      <c r="C155" s="19" t="str">
        <v>コード（折り返し表示）</v>
      </c>
      <c r="D155" s="19" t="str"/>
      <c r="E155" s="19" t="str"/>
    </row>
    <row r="156" ht="19" customHeight="1">
      <c r="B156" s="23" t="str">
        <v>1 / groovy</v>
      </c>
      <c r="C156" s="7" t="str">
        <v>import java.net.URI</v>
      </c>
      <c r="D156" s="7" t="str"/>
      <c r="E156" s="7" t="str"/>
    </row>
    <row r="157" ht="19" customHeight="1">
      <c r="B157" s="24" t="str">
        <v>2 / groovy</v>
      </c>
      <c r="C157" s="21" t="str">
        <v>import java.net.http.HttpRequest</v>
      </c>
      <c r="D157" s="21" t="str"/>
      <c r="E157" s="21" t="str"/>
    </row>
    <row r="158" ht="19" customHeight="1">
      <c r="B158" s="23" t="str">
        <v>3 / groovy</v>
      </c>
      <c r="C158" s="7" t="str">
        <v>import java.net.http.HttpResponse</v>
      </c>
      <c r="D158" s="7" t="str"/>
      <c r="E158" s="7" t="str"/>
    </row>
    <row r="159" ht="19" customHeight="1">
      <c r="B159" s="24" t="str">
        <v>4 / groovy</v>
      </c>
      <c r="C159" s="21" t="str">
        <v>import java.time.Duration</v>
      </c>
      <c r="D159" s="21" t="str"/>
      <c r="E159" s="21" t="str"/>
    </row>
    <row r="160" ht="19" customHeight="1">
      <c r="B160" s="23" t="str">
        <v>5 / groovy</v>
      </c>
      <c r="C160" s="7" t="str"/>
      <c r="D160" s="7" t="str"/>
      <c r="E160" s="7" t="str"/>
    </row>
    <row r="161" ht="19" customHeight="1">
      <c r="B161" s="24" t="str">
        <v>6 / groovy</v>
      </c>
      <c r="C161" s="21" t="str">
        <v>try {</v>
      </c>
      <c r="D161" s="21" t="str"/>
      <c r="E161" s="21" t="str"/>
    </row>
    <row r="162" ht="19" customHeight="1">
      <c r="B162" s="23" t="str">
        <v>7 / groovy</v>
      </c>
      <c r="C162" s="7" t="str">
        <v>    def host = props.getProperty('api_host', '').trim()</v>
      </c>
      <c r="D162" s="7" t="str"/>
      <c r="E162" s="7" t="str"/>
    </row>
    <row r="163" ht="19" customHeight="1">
      <c r="B163" s="24" t="str">
        <v>8 / groovy</v>
      </c>
      <c r="C163" s="21" t="str">
        <v>    def path = props.getProperty('api_path', '/test/health')</v>
      </c>
      <c r="D163" s="21" t="str"/>
      <c r="E163" s="21" t="str"/>
    </row>
    <row r="164" ht="33" customHeight="1">
      <c r="B164" s="23" t="str">
        <v>9 / groovy</v>
      </c>
      <c r="C164" s="7" t="str">
        <v>    if (!host || host.contains('REPLACE') || !(host ==~ /[A-Za-z0-9.-]+/)) {</v>
      </c>
      <c r="D164" s="7" t="str"/>
      <c r="E164" s="7" t="str"/>
    </row>
    <row r="165" ht="33" customHeight="1">
      <c r="B165" s="24" t="str">
        <v>10 / groovy</v>
      </c>
      <c r="C165" s="21" t="str">
        <v>        throw new IllegalArgumentException('Set api_host to an approved private API hostname')</v>
      </c>
      <c r="D165" s="21" t="str"/>
      <c r="E165" s="21" t="str"/>
    </row>
    <row r="166" ht="19" customHeight="1">
      <c r="B166" s="23" t="str">
        <v>11 / groovy</v>
      </c>
      <c r="C166" s="7" t="str">
        <v>    }</v>
      </c>
      <c r="D166" s="7" t="str"/>
      <c r="E166" s="7" t="str"/>
    </row>
    <row r="167" ht="33" customHeight="1">
      <c r="B167" s="24" t="str">
        <v>12 / groovy</v>
      </c>
      <c r="C167" s="21" t="str">
        <v>    if (!path.startsWith('/') || path.startsWith('//')) throw new IllegalArgumentException('Invalid API path')</v>
      </c>
      <c r="D167" s="21" t="str"/>
      <c r="E167" s="21" t="str"/>
    </row>
    <row r="168" ht="19" customHeight="1">
      <c r="B168" s="23" t="str">
        <v>13 / groovy</v>
      </c>
      <c r="C168" s="7" t="str">
        <v>    def token = vars.get('access_token')</v>
      </c>
      <c r="D168" s="7" t="str"/>
      <c r="E168" s="7" t="str"/>
    </row>
    <row r="169" ht="33" customHeight="1">
      <c r="B169" s="24" t="str">
        <v>14 / groovy</v>
      </c>
      <c r="C169" s="21" t="str">
        <v>    if (!token || System.nanoTime() &gt;= Long.parseLong(vars.get('refreshAtNs'))) {</v>
      </c>
      <c r="D169" s="21" t="str"/>
      <c r="E169" s="21" t="str"/>
    </row>
    <row r="170" ht="19" customHeight="1">
      <c r="B170" s="23" t="str">
        <v>15 / groovy</v>
      </c>
      <c r="C170" s="7" t="str">
        <v>        throw new IllegalStateException('No current token')</v>
      </c>
      <c r="D170" s="7" t="str"/>
      <c r="E170" s="7" t="str"/>
    </row>
    <row r="171" ht="19" customHeight="1">
      <c r="B171" s="24" t="str">
        <v>16 / groovy</v>
      </c>
      <c r="C171" s="21" t="str">
        <v>    }</v>
      </c>
      <c r="D171" s="21" t="str"/>
      <c r="E171" s="21" t="str"/>
    </row>
    <row r="172" ht="33" customHeight="1">
      <c r="B172" s="23" t="str">
        <v>17 / groovy</v>
      </c>
      <c r="C172" s="7" t="str">
        <v>    def builder = HttpRequest.newBuilder(URI.create('https://' + host + path))</v>
      </c>
      <c r="D172" s="7" t="str"/>
      <c r="E172" s="7" t="str"/>
    </row>
    <row r="173" ht="33" customHeight="1">
      <c r="B173" s="24" t="str">
        <v>18 / groovy</v>
      </c>
      <c r="C173" s="21" t="str">
        <v>        .timeout(Duration.ofSeconds(15)).header('Authorization', 'Bearer ' + token).GET()</v>
      </c>
      <c r="D173" s="21" t="str"/>
      <c r="E173" s="21" t="str"/>
    </row>
    <row r="174" ht="19" customHeight="1">
      <c r="B174" s="23" t="str">
        <v>19 / groovy</v>
      </c>
      <c r="C174" s="7" t="str">
        <v>    def apiId = props.getProperty('api_id', '').trim()</v>
      </c>
      <c r="D174" s="7" t="str"/>
      <c r="E174" s="7" t="str"/>
    </row>
    <row r="175" ht="19" customHeight="1">
      <c r="B175" s="24" t="str">
        <v>20 / groovy</v>
      </c>
      <c r="C175" s="21" t="str">
        <v>    if (apiId) builder.header('x-apigw-api-id', apiId)</v>
      </c>
      <c r="D175" s="21" t="str"/>
      <c r="E175" s="21" t="str"/>
    </row>
    <row r="176" ht="19" customHeight="1">
      <c r="B176" s="23" t="str">
        <v>21 / groovy</v>
      </c>
      <c r="C176" s="7" t="str">
        <v>    def response = vars.getObject('strictHttpClient').send(</v>
      </c>
      <c r="D176" s="7" t="str"/>
      <c r="E176" s="7" t="str"/>
    </row>
    <row r="177" ht="19" customHeight="1">
      <c r="B177" s="24" t="str">
        <v>22 / groovy</v>
      </c>
      <c r="C177" s="21" t="str">
        <v>        builder.build(), HttpResponse.BodyHandlers.discarding())</v>
      </c>
      <c r="D177" s="21" t="str"/>
      <c r="E177" s="21" t="str"/>
    </row>
    <row r="178" ht="19" customHeight="1">
      <c r="B178" s="23" t="str">
        <v>23 / groovy</v>
      </c>
      <c r="C178" s="7" t="str">
        <v>    int status = response.statusCode()</v>
      </c>
      <c r="D178" s="7" t="str"/>
      <c r="E178" s="7" t="str"/>
    </row>
    <row r="179" ht="19" customHeight="1">
      <c r="B179" s="24" t="str">
        <v>24 / groovy</v>
      </c>
      <c r="C179" s="21" t="str">
        <v>    SampleResult.setResponseCode(Integer.toString(status))</v>
      </c>
      <c r="D179" s="21" t="str"/>
      <c r="E179" s="21" t="str"/>
    </row>
    <row r="180" ht="19" customHeight="1">
      <c r="B180" s="23" t="str">
        <v>25 / groovy</v>
      </c>
      <c r="C180" s="7" t="str">
        <v>    SampleResult.setResponseMessage('Private API response')</v>
      </c>
      <c r="D180" s="7" t="str"/>
      <c r="E180" s="7" t="str"/>
    </row>
    <row r="181" ht="19" customHeight="1">
      <c r="B181" s="24" t="str">
        <v>26 / groovy</v>
      </c>
      <c r="C181" s="21" t="str">
        <v>    SampleResult.setSuccessful(status &gt;= 200 &amp;&amp; status &lt; 300)</v>
      </c>
      <c r="D181" s="21" t="str"/>
      <c r="E181" s="21" t="str"/>
    </row>
    <row r="182" ht="19" customHeight="1">
      <c r="B182" s="23" t="str">
        <v>27 / groovy</v>
      </c>
      <c r="C182" s="7" t="str">
        <v>    if (status == 401) {</v>
      </c>
      <c r="D182" s="7" t="str"/>
      <c r="E182" s="7" t="str"/>
    </row>
    <row r="183" ht="33" customHeight="1">
      <c r="B183" s="24" t="str">
        <v>28 / groovy</v>
      </c>
      <c r="C183" s="21" t="str">
        <v>        vars.remove('access_token') // Diagnose; do not automatically replay writes.</v>
      </c>
      <c r="D183" s="21" t="str"/>
      <c r="E183" s="21" t="str"/>
    </row>
    <row r="184" ht="19" customHeight="1">
      <c r="B184" s="23" t="str">
        <v>29 / groovy</v>
      </c>
      <c r="C184" s="7" t="str">
        <v>        SampleResult.setStopThread(true)</v>
      </c>
      <c r="D184" s="7" t="str"/>
      <c r="E184" s="7" t="str"/>
    </row>
    <row r="185" ht="19" customHeight="1">
      <c r="B185" s="24" t="str">
        <v>30 / groovy</v>
      </c>
      <c r="C185" s="21" t="str">
        <v>    }</v>
      </c>
      <c r="D185" s="21" t="str"/>
      <c r="E185" s="21" t="str"/>
    </row>
    <row r="186" ht="19" customHeight="1">
      <c r="B186" s="23" t="str">
        <v>31 / groovy</v>
      </c>
      <c r="C186" s="7" t="str">
        <v>} catch (Exception e) {</v>
      </c>
      <c r="D186" s="7" t="str"/>
      <c r="E186" s="7" t="str"/>
    </row>
    <row r="187" ht="19" customHeight="1">
      <c r="B187" s="24" t="str">
        <v>32 / groovy</v>
      </c>
      <c r="C187" s="21" t="str">
        <v>    SampleResult.setSuccessful(false)</v>
      </c>
      <c r="D187" s="21" t="str"/>
      <c r="E187" s="21" t="str"/>
    </row>
    <row r="188" ht="19" customHeight="1">
      <c r="B188" s="23" t="str">
        <v>33 / groovy</v>
      </c>
      <c r="C188" s="7" t="str">
        <v>    SampleResult.setResponseCode('API_ERROR')</v>
      </c>
      <c r="D188" s="7" t="str"/>
      <c r="E188" s="7" t="str"/>
    </row>
    <row r="189" ht="19" customHeight="1">
      <c r="B189" s="24" t="str">
        <v>34 / groovy</v>
      </c>
      <c r="C189" s="21" t="str">
        <v>    SampleResult.setResponseMessage(e.getClass().getSimpleName())</v>
      </c>
      <c r="D189" s="21" t="str"/>
      <c r="E189" s="21" t="str"/>
    </row>
    <row r="190" ht="19" customHeight="1">
      <c r="B190" s="23" t="str">
        <v>35 / groovy</v>
      </c>
      <c r="C190" s="7" t="str">
        <v>    SampleResult.setStopThread(true)</v>
      </c>
      <c r="D190" s="7" t="str"/>
      <c r="E190" s="7" t="str"/>
    </row>
    <row r="191" ht="19" customHeight="1">
      <c r="B191" s="24" t="str">
        <v>36 / groovy</v>
      </c>
      <c r="C191" s="21" t="str">
        <v>} finally {</v>
      </c>
      <c r="D191" s="21" t="str"/>
      <c r="E191" s="21" t="str"/>
    </row>
    <row r="192" ht="33" customHeight="1">
      <c r="B192" s="23" t="str">
        <v>37 / groovy</v>
      </c>
      <c r="C192" s="7" t="str">
        <v>    SampleResult.setResponseData('API response body suppressed', 'UTF-8')</v>
      </c>
      <c r="D192" s="7" t="str"/>
      <c r="E192" s="7" t="str"/>
    </row>
    <row r="193" ht="19" customHeight="1">
      <c r="B193" s="24" t="str">
        <v>38 / groovy</v>
      </c>
      <c r="C193" s="21" t="str">
        <v>    SampleResult.setSamplerData('Authorization header suppressed')</v>
      </c>
      <c r="D193" s="21" t="str"/>
      <c r="E193" s="21" t="str"/>
    </row>
    <row r="194" ht="19" customHeight="1">
      <c r="B194" s="23" t="str">
        <v>39 / groovy</v>
      </c>
      <c r="C194" s="7" t="str">
        <v>}</v>
      </c>
      <c r="D194" s="7" t="str"/>
      <c r="E194" s="7" t="str"/>
    </row>
    <row r="196" ht="25" customHeight="1">
      <c r="B196" s="13" t="str">
        <v>jmeter-private.properties</v>
      </c>
      <c r="C196" s="14"/>
      <c r="D196" s="14"/>
      <c r="E196" s="14"/>
    </row>
    <row r="197" ht="28" customHeight="1">
      <c r="B197" s="19" t="str">
        <v>行／言語</v>
      </c>
      <c r="C197" s="19" t="str">
        <v>コード（折り返し表示）</v>
      </c>
      <c r="D197" s="19" t="str"/>
      <c r="E197" s="19" t="str"/>
    </row>
    <row r="198" ht="33" customHeight="1">
      <c r="B198" s="23" t="str">
        <v>1 / properties</v>
      </c>
      <c r="C198" s="7" t="str">
        <v># Inject secrets through the process environment, never through -J or this file.</v>
      </c>
      <c r="D198" s="7" t="str"/>
      <c r="E198" s="7" t="str"/>
    </row>
    <row r="199" ht="19" customHeight="1">
      <c r="B199" s="24" t="str">
        <v>2 / properties</v>
      </c>
      <c r="C199" s="21" t="str">
        <v>threads=1</v>
      </c>
      <c r="D199" s="21" t="str"/>
      <c r="E199" s="21" t="str"/>
    </row>
    <row r="200" ht="19" customHeight="1">
      <c r="B200" s="23" t="str">
        <v>3 / properties</v>
      </c>
      <c r="C200" s="7" t="str">
        <v>loops=1</v>
      </c>
      <c r="D200" s="7" t="str"/>
      <c r="E200" s="7" t="str"/>
    </row>
    <row r="201" ht="19" customHeight="1">
      <c r="B201" s="24" t="str">
        <v>4 / properties</v>
      </c>
      <c r="C201" s="21" t="str">
        <v>ramp_seconds=1</v>
      </c>
      <c r="D201" s="21" t="str"/>
      <c r="E201" s="21" t="str"/>
    </row>
    <row r="202" ht="19" customHeight="1">
      <c r="B202" s="23" t="str">
        <v>5 / properties</v>
      </c>
      <c r="C202" s="7" t="str">
        <v>api_host=REPLACE_API_ID.execute-api.ap-northeast-1.amazonaws.com</v>
      </c>
      <c r="D202" s="7" t="str"/>
      <c r="E202" s="7" t="str"/>
    </row>
    <row r="203" ht="19" customHeight="1">
      <c r="B203" s="24" t="str">
        <v>6 / properties</v>
      </c>
      <c r="C203" s="21" t="str">
        <v>api_path=/test/health</v>
      </c>
      <c r="D203" s="21" t="str"/>
      <c r="E203" s="21" t="str"/>
    </row>
    <row r="204" ht="33" customHeight="1">
      <c r="B204" s="23" t="str">
        <v>7 / properties</v>
      </c>
      <c r="C204" s="7" t="str">
        <v># For a VPCE-specific hostname, set api_id to the REST API ID. Otherwise leave empty.</v>
      </c>
      <c r="D204" s="7" t="str"/>
      <c r="E204" s="7" t="str"/>
    </row>
    <row r="205" ht="19" customHeight="1">
      <c r="B205" s="24" t="str">
        <v>8 / properties</v>
      </c>
      <c r="C205" s="21" t="str">
        <v>api_id=</v>
      </c>
      <c r="D205" s="21" t="str"/>
      <c r="E205" s="21" t="str"/>
    </row>
    <row r="206" ht="33" customHeight="1">
      <c r="B206" s="23" t="str">
        <v>9 / properties</v>
      </c>
      <c r="C206" s="7" t="str">
        <v># Empty means cognito-idp.${AWS_REGION}.amazonaws.com, resolved through private DNS.</v>
      </c>
      <c r="D206" s="7" t="str"/>
      <c r="E206" s="7" t="str"/>
    </row>
    <row r="207" ht="19" customHeight="1">
      <c r="B207" s="24" t="str">
        <v>10 / properties</v>
      </c>
      <c r="C207" s="21" t="str">
        <v>cognito_host=</v>
      </c>
      <c r="D207" s="21" t="str"/>
      <c r="E207" s="21" t="str"/>
    </row>
    <row r="208" ht="19" customHeight="1">
      <c r="B208" s="23" t="str">
        <v>11 / properties</v>
      </c>
      <c r="C208" s="7" t="str">
        <v>jmeter.save.saveservice.output_format=csv</v>
      </c>
      <c r="D208" s="7" t="str"/>
      <c r="E208" s="7" t="str"/>
    </row>
    <row r="209" ht="19" customHeight="1">
      <c r="B209" s="24" t="str">
        <v>12 / properties</v>
      </c>
      <c r="C209" s="21" t="str">
        <v>jmeter.save.saveservice.response_data=false</v>
      </c>
      <c r="D209" s="21" t="str"/>
      <c r="E209" s="21" t="str"/>
    </row>
    <row r="210" ht="19" customHeight="1">
      <c r="B210" s="23" t="str">
        <v>13 / properties</v>
      </c>
      <c r="C210" s="7" t="str">
        <v>jmeter.save.saveservice.response_data.on_error=false</v>
      </c>
      <c r="D210" s="7" t="str"/>
      <c r="E210" s="7" t="str"/>
    </row>
    <row r="211" ht="19" customHeight="1">
      <c r="B211" s="24" t="str">
        <v>14 / properties</v>
      </c>
      <c r="C211" s="21" t="str">
        <v>jmeter.save.saveservice.samplerData=false</v>
      </c>
      <c r="D211" s="21" t="str"/>
      <c r="E211" s="21" t="str"/>
    </row>
    <row r="212" ht="19" customHeight="1">
      <c r="B212" s="23" t="str">
        <v>15 / properties</v>
      </c>
      <c r="C212" s="7" t="str">
        <v>jmeter.save.saveservice.requestHeaders=false</v>
      </c>
      <c r="D212" s="7" t="str"/>
      <c r="E212" s="7" t="str"/>
    </row>
    <row r="213" ht="19" customHeight="1">
      <c r="B213" s="24" t="str">
        <v>16 / properties</v>
      </c>
      <c r="C213" s="21" t="str">
        <v>jmeter.save.saveservice.responseHeaders=false</v>
      </c>
      <c r="D213" s="21" t="str"/>
      <c r="E213" s="21" t="str"/>
    </row>
    <row r="214" ht="19" customHeight="1">
      <c r="B214" s="23" t="str">
        <v>17 / properties</v>
      </c>
      <c r="C214" s="7" t="str">
        <v>jmeter.save.saveservice.url=false</v>
      </c>
      <c r="D214" s="7" t="str"/>
      <c r="E214" s="7" t="str"/>
    </row>
    <row r="215" ht="19" customHeight="1">
      <c r="B215" s="24" t="str">
        <v>18 / properties</v>
      </c>
      <c r="C215" s="21" t="str">
        <v>httpsampler.max_redirects=0</v>
      </c>
      <c r="D215" s="21" t="str"/>
      <c r="E215" s="21" t="str"/>
    </row>
  </sheetData>
  <pageMargins left="0.25" right="0.25" top="0.35" bottom="0.35" header="0.15" footer="0.15"/>
  <pageSetup paperSize="8" orientation="landscape" fitToWidth="1" fitToHeight="0"/>
</worksheet>
</file>

<file path=xl/worksheets/sheet8.xml><?xml version="1.0" encoding="utf-8"?>
<worksheet xmlns="http://schemas.openxmlformats.org/spreadsheetml/2006/main">
  <sheetPr>
    <pageSetUpPr fitToPage="1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30" hidden="0" customWidth="1"/>
    <col min="3" max="3" width="72" hidden="0" customWidth="1"/>
    <col min="4" max="4" width="61" hidden="0" customWidth="1"/>
    <col min="5" max="5" width="18" hidden="0" customWidth="1"/>
    <col min="6" max="6" width="3" hidden="0" customWidth="1"/>
  </cols>
  <sheetData>
    <row r="2" ht="30" customHeight="1">
      <c r="B2" s="2" t="str">
        <v>07 運用と検証</v>
      </c>
    </row>
    <row r="3" ht="23" customHeight="1">
      <c r="B3" s="3"/>
      <c r="C3" s="4" t="str">
        <v>調査基準日：2026-10-18</v>
      </c>
      <c r="D3" s="3"/>
      <c r="E3" s="3"/>
    </row>
    <row r="4" ht="47" customHeight="1">
      <c r="C4" s="7" t="str">
        <v>APIに到達できること、正しい権限だけが通ること、通信が閉域に収まることを別々に検証する。DNSがprivate IPだったという一点だけで完了にしない。</v>
      </c>
    </row>
    <row r="6" ht="25" customHeight="1">
      <c r="B6" s="13" t="str">
        <v>推奨運用</v>
      </c>
      <c r="C6" s="14"/>
      <c r="D6" s="14"/>
      <c r="E6" s="14"/>
    </row>
    <row r="7" ht="28" customHeight="1">
      <c r="B7" s="19" t="str">
        <v>項目</v>
      </c>
      <c r="C7" s="19" t="str">
        <v>意味・判断根拠</v>
      </c>
      <c r="D7" s="19" t="str">
        <v>設定・運用への反映</v>
      </c>
      <c r="E7" s="19" t="str">
        <v>根拠</v>
      </c>
    </row>
    <row r="8" ht="40" customHeight="1">
      <c r="B8" s="20" t="str">
        <v>secretの管理</v>
      </c>
      <c r="C8" s="7" t="str">
        <v>Secrets Manager等に保存し、実行ロールには対象secretの取得だけを許可する。</v>
      </c>
      <c r="D8" s="7" t="str">
        <v>環境変数も同権限のプロセスや管理者から見られ得る。検証時の簡便な注入例であり、完全な秘匿機構ではない。</v>
      </c>
      <c r="E8" s="7" t="str">
        <v>S22 設計提案</v>
      </c>
    </row>
    <row r="9" ht="40" customHeight="1">
      <c r="B9" s="22" t="str">
        <v>secretの更新</v>
      </c>
      <c r="C9" s="21" t="str">
        <v>最新のAPIには追加secretを使うローテーション経路がある。旧secretと新secretを段階的に切り替える。</v>
      </c>
      <c r="D9" s="21" t="str">
        <v>対応機能・最大数を実環境で確認。新secretで発行を確認後に旧secretを廃止。既に発行済みJWTの即時無効化とは分けて扱う。</v>
      </c>
      <c r="E9" s="21" t="str">
        <v>S36 S15</v>
      </c>
    </row>
    <row r="10" ht="40" customHeight="1">
      <c r="B10" s="20" t="str">
        <v>tokenの再利用</v>
      </c>
      <c r="C10" s="7" t="str">
        <v>期限内で再利用し、更新を早めに行う。キャッシュキーはpool／client／scope集合／必要なmetadataで分離する。</v>
      </c>
      <c r="D10" s="7" t="str">
        <v>利用者や権限が異なるtokenを共有しない。全thread共有の場合はロック等で更新集中を防ぐ。配布JMXはthreadごとの単純な例。</v>
      </c>
      <c r="E10" s="7" t="str">
        <v>S16 設計提案</v>
      </c>
    </row>
    <row r="11" ht="40" customHeight="1">
      <c r="B11" s="22" t="str">
        <v>有効期限</v>
      </c>
      <c r="C11" s="21" t="str">
        <v>access tokenの一般的な設定範囲は5分～1日。実際は発行応答のExpiresInを読む。</v>
      </c>
      <c r="D11" s="21" t="str">
        <v>長くすると発行負荷が減る一方、盗難tokenが使える時間が延びる。原則短めから、要件と測定結果で決める。</v>
      </c>
      <c r="E11" s="21" t="str">
        <v>S14</v>
      </c>
    </row>
    <row r="12" ht="40" customHeight="1">
      <c r="B12" s="20" t="str">
        <v>M2Mの更新</v>
      </c>
      <c r="C12" s="7" t="str">
        <v>refresh tokenで更新する方式ではなく、client secretでGetClientTokenを再実行する。</v>
      </c>
      <c r="D12" s="7" t="str">
        <v>再取得失敗時は有効期限を過ぎたtokenを使わない。401でsecretが間違っていると即断せず、issuer・scope等も確認する。</v>
      </c>
      <c r="E12" s="7" t="str">
        <v>S02 S06</v>
      </c>
    </row>
    <row r="13" ht="55" customHeight="1">
      <c r="B13" s="22" t="str">
        <v>再試行</v>
      </c>
      <c r="C13" s="21" t="str">
        <v>タイムアウト・5xx・スロットリング等は上限付き指数バックオフとゆらぎ。設定不正やsecret不正を延々再試行しない。</v>
      </c>
      <c r="D13" s="21" t="str">
        <v>GetClientTokenのTooManyRequestsExceptionはHTTP 400として定義される。429だけを見る実装にしない。取得再試行でtoken発行回数が増える可能性を見込む。</v>
      </c>
      <c r="E13" s="21" t="str">
        <v>S02</v>
      </c>
    </row>
    <row r="14" ht="40" customHeight="1">
      <c r="B14" s="20" t="str">
        <v>時刻</v>
      </c>
      <c r="C14" s="7" t="str">
        <v>JWTのexp等はサーバー時刻に関係する。キャッシュ経過時間には単調時計を使う。</v>
      </c>
      <c r="D14" s="7" t="str">
        <v>workerのNTPを閉域で維持し、時計の進み・遅れを試験。配布例はtime.monotonic／System.nanoTimeで更新判定する。</v>
      </c>
      <c r="E14" s="7" t="str">
        <v>S14 設計例</v>
      </c>
    </row>
    <row r="15" ht="55" customHeight="1">
      <c r="B15" s="22" t="str">
        <v>ログ</v>
      </c>
      <c r="C15" s="21" t="str">
        <v>token・secret・Authorization・リクエスト本文・認証応答は記録しない。</v>
      </c>
      <c r="D15" s="21" t="str">
        <v>件数、HTTP status、例外分類、レイテンシ、対象環境の識別子などを記録。AWS CLI --debug、JMeter Debug Sampler、PowerShell transcriptも見直す。</v>
      </c>
      <c r="E15" s="21" t="str">
        <v>設計提案</v>
      </c>
    </row>
    <row r="16" ht="40" customHeight="1">
      <c r="B16" s="20" t="str">
        <v>JWT検証</v>
      </c>
      <c r="C16" s="7" t="str">
        <v>署名・iss・exp・token_use=access・必要scopeを確認。必要な場合client_id等も追加で照合する。</v>
      </c>
      <c r="D16" s="7" t="str">
        <v>通常のM2M tokenのsubを人間ユーザーIDだと仮定しない。鍵のkid変更と未知鍵時の動作を試験する。</v>
      </c>
      <c r="E16" s="7" t="str">
        <v>S14 S15</v>
      </c>
    </row>
    <row r="17" ht="40" customHeight="1">
      <c r="B17" s="22" t="str">
        <v>JWKSと管理面</v>
      </c>
      <c r="C17" s="21" t="str">
        <v>ネイティブCognito authorizerでは、利用者VPCのJMeterがAPI呼出ごとにCognitoへ問い合わせる設計にはしない。</v>
      </c>
      <c r="D17" s="21" t="str">
        <v>AWS管理authorizerの内部通信が利用者VPCEを通ると主張しない。自作検証器のJWKS取得は別経路として検証する。</v>
      </c>
      <c r="E17" s="21" t="str">
        <v>S10 S15 設計整理</v>
      </c>
    </row>
    <row r="18" ht="40" customHeight="1">
      <c r="B18" s="20" t="str">
        <v>障害切分け</v>
      </c>
      <c r="C18" s="7" t="str">
        <v>DNS→TCP→TLS→Cognito発行→VPCE policy→API policy→authorizer→backendの順に切り分ける。</v>
      </c>
      <c r="D18" s="7" t="str">
        <v>エラーstatusだけで原因を一意に断定しない。request ID、実行時刻、VPCE ID、認可設定を照合し、secretをログに追加しない。</v>
      </c>
      <c r="E18" s="7" t="str">
        <v>設計提案</v>
      </c>
    </row>
    <row r="20" ht="25" customHeight="1">
      <c r="B20" s="13" t="str">
        <v>受入試験（期待結果と証跡）</v>
      </c>
      <c r="C20" s="14"/>
      <c r="D20" s="14"/>
      <c r="E20" s="14"/>
    </row>
    <row r="21" ht="28" customHeight="1">
      <c r="B21" s="19" t="str">
        <v>項目</v>
      </c>
      <c r="C21" s="19" t="str">
        <v>意味・判断根拠</v>
      </c>
      <c r="D21" s="19" t="str">
        <v>設定・運用への反映</v>
      </c>
      <c r="E21" s="19" t="str">
        <v>根拠</v>
      </c>
    </row>
    <row r="22" ht="40" customHeight="1">
      <c r="B22" s="20" t="str">
        <v>T01：モデル対応</v>
      </c>
      <c r="C22" s="7" t="str">
        <v>CLIのgenerate-cli-skeleton inputが成功／SDKにGetClientTokenがある。</v>
      </c>
      <c r="D22" s="7" t="str">
        <v>実行機ごとの版と出力を保存。通信不要。今回のCLI 2.28.21は未対応だった。</v>
      </c>
      <c r="E22" s="7" t="str">
        <v>S05 ローカル確認</v>
      </c>
    </row>
    <row r="23" ht="40" customHeight="1">
      <c r="B23" s="22" t="str">
        <v>T02：Cognito DNS</v>
      </c>
      <c r="C23" s="21" t="str">
        <v>cognito-idpのA/AAAAが対象VPCEのENIへ向く。</v>
      </c>
      <c r="D23" s="21" t="str">
        <v>Resolve-DnsNameとEC2のNetworkInterfaceIds／PrivateIpAddressを照合。IPv6やproxyも確認。</v>
      </c>
      <c r="E23" s="21" t="str">
        <v>S20</v>
      </c>
    </row>
    <row r="24" ht="40" customHeight="1">
      <c r="B24" s="20" t="str">
        <v>T03：API DNS</v>
      </c>
      <c r="C24" s="7" t="str">
        <v>api-id.execute-api等が想定VPCEへ向く。</v>
      </c>
      <c r="D24" s="7" t="str">
        <v>workerごとに解決。通常名／VPCE名／private custom domainの選択とHost条件を記録。</v>
      </c>
      <c r="E24" s="7" t="str">
        <v>S08</v>
      </c>
    </row>
    <row r="25" ht="40" customHeight="1">
      <c r="B25" s="22" t="str">
        <v>T04：公開出口遮断</v>
      </c>
      <c r="C25" s="21" t="str">
        <v>専用の検証サブネットでNAT／IGW／外部proxyへの経路を使えなくしても両要求が成功。</v>
      </c>
      <c r="D25" s="21" t="str">
        <v>本番共有ルートを無断変更せず、最初からno-egressの検証サブネットを使う。ルート表・SG・Flow Logsを保存。</v>
      </c>
      <c r="E25" s="21" t="str">
        <v>設計提案</v>
      </c>
    </row>
    <row r="26" ht="37" customHeight="1">
      <c r="B26" s="20" t="str">
        <v>T05：発行正常</v>
      </c>
      <c r="C26" s="7" t="str">
        <v>正しいclient＋secret＋scopeでtokenを取得。</v>
      </c>
      <c r="D26" s="7" t="str">
        <v>200、TokenType、ExpiresInを確認。token値は証跡に含めない。</v>
      </c>
      <c r="E26" s="7" t="str">
        <v>S02</v>
      </c>
    </row>
    <row r="27" ht="40" customHeight="1">
      <c r="B27" s="22" t="str">
        <v>T06：secret不正</v>
      </c>
      <c r="C27" s="21" t="str">
        <v>不正secretでは発行できない。</v>
      </c>
      <c r="D27" s="21" t="str">
        <v>GetClientTokenのNotAuthorizedExceptionはHTTP 400。OAuthのinvalid_clientと形式が違う。</v>
      </c>
      <c r="E27" s="21" t="str">
        <v>S02</v>
      </c>
    </row>
    <row r="28" ht="40" customHeight="1">
      <c r="B28" s="20" t="str">
        <v>T07：flow不正</v>
      </c>
      <c r="C28" s="7" t="str">
        <v>ALLOW_CLIENT_TOKEN_AUTH未設定や混在設定を検出する。</v>
      </c>
      <c r="D28" s="7" t="str">
        <v>Cognitoの設定検証／発行失敗を記録。user-password方式へ自動フォールバックしない。</v>
      </c>
      <c r="E28" s="7" t="str">
        <v>S02</v>
      </c>
    </row>
    <row r="29" ht="40" customHeight="1">
      <c r="B29" s="22" t="str">
        <v>T08：scope不正</v>
      </c>
      <c r="C29" s="21" t="str">
        <v>未許可scopeを要求した際に権限の広いtokenが発行されない。</v>
      </c>
      <c r="D29" s="21" t="str">
        <v>入力・クライアント許可・応答scopeを照合。発行エラーの型とstatusを実測する。</v>
      </c>
      <c r="E29" s="21" t="str">
        <v>S02 S04</v>
      </c>
    </row>
    <row r="30" ht="40" customHeight="1">
      <c r="B30" s="20" t="str">
        <v>T09：ドメイン共存</v>
      </c>
      <c r="C30" s="7" t="str">
        <v>既存ドメインありプールを再利用する案ではVPCEからの発行可否を実測。</v>
      </c>
      <c r="D30" s="7" t="str">
        <v>S03の不整合が残るため、成功しなければ閉域専用プールへ切り替える。既存ドメイン削除を試験手順に含めない。</v>
      </c>
      <c r="E30" s="7" t="str">
        <v>S03</v>
      </c>
    </row>
    <row r="31" ht="40" customHeight="1">
      <c r="B31" s="22" t="str">
        <v>T10：API正常</v>
      </c>
      <c r="C31" s="21" t="str">
        <v>発行tokenでscope付きメソッドが成功。</v>
      </c>
      <c r="D31" s="21" t="str">
        <v>デプロイ済みstageへHTTPS呼出。authorizerのコンソールTest機能だけでM2Mの成功判定をしない。</v>
      </c>
      <c r="E31" s="21" t="str">
        <v>S10</v>
      </c>
    </row>
    <row r="32" ht="40" customHeight="1">
      <c r="B32" s="20" t="str">
        <v>T11：期限切れ</v>
      </c>
      <c r="C32" s="7" t="str">
        <v>失効tokenでは認可されない。</v>
      </c>
      <c r="D32" s="7" t="str">
        <v>通常401を想定。実応答とauthorizerログで確認し、再取得処理も別に検証。</v>
      </c>
      <c r="E32" s="7" t="str">
        <v>S10 S14</v>
      </c>
    </row>
    <row r="33" ht="40" customHeight="1">
      <c r="B33" s="22" t="str">
        <v>T12：scope不足</v>
      </c>
      <c r="C33" s="21" t="str">
        <v>要求scopeを持たないtokenが対象メソッドを通らない。</v>
      </c>
      <c r="D33" s="21" t="str">
        <v>Cognito authorizerのscope不一致は公式例では401。リソース／VPCE policy拒否の403等と混同しない。</v>
      </c>
      <c r="E33" s="21" t="str">
        <v>S10 S09</v>
      </c>
    </row>
    <row r="34" ht="40" customHeight="1">
      <c r="B34" s="20" t="str">
        <v>T13：pool／clientの違い</v>
      </c>
      <c r="C34" s="7" t="str">
        <v>信頼外poolを拒否。特定client制限が必要なら他clientも拒否。</v>
      </c>
      <c r="D34" s="7" t="str">
        <v>scopeが同じ他clientを通してしまわないか、要件に合わせて確認する。</v>
      </c>
      <c r="E34" s="7" t="str">
        <v>S10 S14 設計提案</v>
      </c>
    </row>
    <row r="35" ht="40" customHeight="1">
      <c r="B35" s="22" t="str">
        <v>T14：VPCE policy</v>
      </c>
      <c r="C35" s="21" t="str">
        <v>許可したAPI／poolだけ通り、許可しない資源・操作は通らない。</v>
      </c>
      <c r="D35" s="21" t="str">
        <v>Principal=*の意味を誤解してIAMロール限定へ書き換えない。GetClientTokenのresource制限も実測。</v>
      </c>
      <c r="E35" s="21" t="str">
        <v>S03 S09</v>
      </c>
    </row>
    <row r="36" ht="40" customHeight="1">
      <c r="B36" s="20" t="str">
        <v>T15：別VPCE</v>
      </c>
      <c r="C36" s="7" t="str">
        <v>API側のSourceVpce許可外からは拒否される。</v>
      </c>
      <c r="D36" s="7" t="str">
        <v>異なる認証と異なるネットワークの負試験を分け、拒否理由を特定する。</v>
      </c>
      <c r="E36" s="7" t="str">
        <v>S11</v>
      </c>
    </row>
    <row r="37" ht="40" customHeight="1">
      <c r="B37" s="22" t="str">
        <v>T16：公開からの発行</v>
      </c>
      <c r="C37" s="21" t="str">
        <v>公開経路での発行禁止も要件なら、VPCEを通らないGetClientTokenを拒否できる。</v>
      </c>
      <c r="D37" s="21" t="str">
        <v>VPCEを作っただけの構成では禁止されない。対象RCP等を適用した検証環境で確認する。</v>
      </c>
      <c r="E37" s="21" t="str">
        <v>S03</v>
      </c>
    </row>
    <row r="38" ht="40" customHeight="1">
      <c r="B38" s="20" t="str">
        <v>T17：TLS</v>
      </c>
      <c r="C38" s="7" t="str">
        <v>未信頼CA・期限切れ・ホスト名不一致の相手を拒否。</v>
      </c>
      <c r="D38" s="7" t="str">
        <v>IP直指定＋Host書換えやtrust-allで試験を通さない。配布JMXのstrict HTTP方式も負試験する。</v>
      </c>
      <c r="E38" s="7" t="str">
        <v>S28 設計例</v>
      </c>
    </row>
    <row r="39" ht="37" customHeight="1">
      <c r="B39" s="22" t="str">
        <v>T18：期限超過試験</v>
      </c>
      <c r="C39" s="21" t="str">
        <v>token寿命を超えてAPIを呼び続けても適切に更新。</v>
      </c>
      <c r="D39" s="21" t="str">
        <v>取得回数が期待値に近く、旧tokenを期限後に使わない。</v>
      </c>
      <c r="E39" s="21" t="str">
        <v>S16 設計例</v>
      </c>
    </row>
    <row r="40" ht="37" customHeight="1">
      <c r="B40" s="20" t="str">
        <v>T19：集中・上限</v>
      </c>
      <c r="C40" s="7" t="str">
        <v>起動集中と同時更新で過剰発行を起こさず、スロットリングを認識できる。</v>
      </c>
      <c r="D40" s="7" t="str">
        <v>ramp-up、cache粒度、retry設定、実クォータを保存。</v>
      </c>
      <c r="E40" s="7" t="str">
        <v>S17 設計提案</v>
      </c>
    </row>
    <row r="41" ht="37" customHeight="1">
      <c r="B41" s="22" t="str">
        <v>T20：secret更新</v>
      </c>
      <c r="C41" s="21" t="str">
        <v>新secretで発行成功し、旧secret廃止後に旧secretで発行できない。</v>
      </c>
      <c r="D41" s="21" t="str">
        <v>既発行tokenの残存期間とAPI側の緊急遮断方法も確認。</v>
      </c>
      <c r="E41" s="21" t="str">
        <v>S36 設計提案</v>
      </c>
    </row>
    <row r="42" ht="40" customHeight="1">
      <c r="B42" s="20" t="str">
        <v>T21：鍵更新</v>
      </c>
      <c r="C42" s="7" t="str">
        <v>自作JWT検証器は未知kid・JWKS更新に安全に対応する。</v>
      </c>
      <c r="D42" s="7" t="str">
        <v>鍵が取得できない場合に署名検証をスキップしない。公開鍵配布の閉域性・更新運用を確認。</v>
      </c>
      <c r="E42" s="7" t="str">
        <v>S15</v>
      </c>
    </row>
    <row r="43" ht="40" customHeight="1">
      <c r="B43" s="22" t="str">
        <v>T22：Salesforce</v>
      </c>
      <c r="C43" s="21" t="str">
        <v>認証先と業務APIの両方がPrivate Connect等の意図した経路を使う。</v>
      </c>
      <c r="D43" s="21" t="str">
        <v>Named／External Credential設定、接続状態、認証更新・リダイレクト、NLB・VPCE経路を記録する。</v>
      </c>
      <c r="E43" s="21" t="str">
        <v>S25 S26 設計提案</v>
      </c>
    </row>
    <row r="44" ht="40" customHeight="1">
      <c r="B44" s="20" t="str">
        <v>T23：分散worker</v>
      </c>
      <c r="C44" s="7" t="str">
        <v>全workerが秘密・TLS・DNS・VPCE条件を満たす。</v>
      </c>
      <c r="D44" s="7" t="str">
        <v>controllerだけでなく全workerの宛先とログを確認。secretを-Gで配らない。</v>
      </c>
      <c r="E44" s="7" t="str">
        <v>S28</v>
      </c>
    </row>
    <row r="45" ht="40" customHeight="1">
      <c r="B45" s="22" t="str">
        <v>T24：秘密の非記録</v>
      </c>
      <c r="C45" s="21" t="str">
        <v>JTL／JMeter log／実行ログ／レポートにtoken・secretが残らない。</v>
      </c>
      <c r="D45" s="21" t="str">
        <v>ダミーsecretで検索して確認。本番secretの文字列を検索コマンド引数に渡さない。</v>
      </c>
      <c r="E45" s="21" t="str">
        <v>設計提案</v>
      </c>
    </row>
    <row r="47" ht="25" customHeight="1">
      <c r="B47" s="13" t="str">
        <v>Windowsの読み取り確認コマンド例</v>
      </c>
      <c r="C47" s="14"/>
      <c r="D47" s="14"/>
      <c r="E47" s="14"/>
    </row>
    <row r="48" ht="28" customHeight="1">
      <c r="B48" s="19" t="str">
        <v>行／言語</v>
      </c>
      <c r="C48" s="19" t="str">
        <v>コード（折り返し表示）</v>
      </c>
      <c r="D48" s="19" t="str"/>
      <c r="E48" s="19" t="str"/>
    </row>
    <row r="49" ht="19" customHeight="1">
      <c r="B49" s="23" t="str">
        <v>1 / powershell</v>
      </c>
      <c r="C49" s="7" t="str">
        <v># 通信を実行するのは利用者の承認済み環境。値は置換する。</v>
      </c>
      <c r="D49" s="7" t="str"/>
      <c r="E49" s="7" t="str"/>
    </row>
    <row r="50" ht="19" customHeight="1">
      <c r="B50" s="24" t="str">
        <v>2 / powershell</v>
      </c>
      <c r="C50" s="21" t="str">
        <v>Resolve-DnsName cognito-idp.ap-northeast-1.amazonaws.com</v>
      </c>
      <c r="D50" s="21" t="str"/>
      <c r="E50" s="21" t="str"/>
    </row>
    <row r="51" ht="33" customHeight="1">
      <c r="B51" s="23" t="str">
        <v>3 / powershell</v>
      </c>
      <c r="C51" s="7" t="str">
        <v>Resolve-DnsName REPLACE_API_ID.execute-api.ap-northeast-1.amazonaws.com</v>
      </c>
      <c r="D51" s="7" t="str"/>
      <c r="E51" s="7" t="str"/>
    </row>
    <row r="52" ht="19" customHeight="1">
      <c r="B52" s="24" t="str">
        <v>4 / powershell</v>
      </c>
      <c r="C52" s="21" t="str">
        <v>Test-NetConnection cognito-idp.ap-northeast-1.amazonaws.com -Port 443</v>
      </c>
      <c r="D52" s="21" t="str"/>
      <c r="E52" s="21" t="str"/>
    </row>
    <row r="53" ht="61" customHeight="1">
      <c r="B53" s="23" t="str">
        <v>5 / powershell</v>
      </c>
      <c r="C53" s="7" t="str">
        <v>aws ec2 describe-vpc-endpoints --region ap-northeast-1 --vpc-endpoint-ids vpce-REPLACE --query 'VpcEndpoints[].{Id:VpcEndpointId,Service:ServiceName,PrivateDNS:PrivateDnsEnabled,DNS:DnsEntries,ENI:NetworkInterfaceIds}'</v>
      </c>
      <c r="D53" s="7" t="str"/>
      <c r="E53" s="7" t="str"/>
    </row>
    <row r="54" ht="47" customHeight="1">
      <c r="B54" s="24" t="str">
        <v>6 / powershell</v>
      </c>
      <c r="C54" s="21" t="str">
        <v>aws cognito-idp describe-user-pool --region ap-northeast-1 --user-pool-id ap-northeast-1_REPLACE --query 'UserPool.{Id:Id,Domain:Domain,CustomDomain:CustomDomain,Issuer:IssuerConfiguration}'</v>
      </c>
      <c r="D54" s="21" t="str"/>
      <c r="E54" s="21" t="str"/>
    </row>
    <row r="55" ht="61" customHeight="1">
      <c r="B55" s="23" t="str">
        <v>7 / powershell</v>
      </c>
      <c r="C55" s="7" t="str">
        <v>aws cognito-idp describe-user-pool-client --region ap-northeast-1 --user-pool-id ap-northeast-1_REPLACE --client-id REPLACE --query 'UserPoolClient.{Id:ClientId,Flows:ExplicitAuthFlows,OAuth:AllowedOAuthFlows,Scopes:AllowedOAuthScopes}'</v>
      </c>
      <c r="D55" s="7" t="str"/>
      <c r="E55" s="7" t="str"/>
    </row>
    <row r="56" ht="33" customHeight="1">
      <c r="B56" s="24" t="str">
        <v>8 / powershell</v>
      </c>
      <c r="C56" s="21" t="str">
        <v># Test-NetConnectionの成功はTCP疎通のみ。TLS・scope・閉域経路の証明ではない。</v>
      </c>
      <c r="D56" s="21" t="str"/>
      <c r="E56" s="21" t="str"/>
    </row>
  </sheetData>
  <pageMargins left="0.25" right="0.25" top="0.35" bottom="0.35" header="0.15" footer="0.15"/>
  <pageSetup paperSize="8" orientation="landscape" fitToWidth="1" fitToHeight="0"/>
</worksheet>
</file>

<file path=xl/worksheets/sheet9.xml><?xml version="1.0" encoding="utf-8"?>
<worksheet xmlns="http://schemas.openxmlformats.org/spreadsheetml/2006/main">
  <sheetPr>
    <tabColor rgb="FF888888"/>
    <pageSetUpPr fitToPage="1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30" hidden="0" customWidth="1"/>
    <col min="3" max="3" width="72" hidden="0" customWidth="1"/>
    <col min="4" max="4" width="61" hidden="0" customWidth="1"/>
    <col min="5" max="5" width="18" hidden="0" customWidth="1"/>
    <col min="6" max="6" width="3" hidden="0" customWidth="1"/>
  </cols>
  <sheetData>
    <row r="2" ht="30" customHeight="1">
      <c r="B2" s="2" t="str">
        <v>08 負荷と費用</v>
      </c>
    </row>
    <row r="3" ht="23" customHeight="1">
      <c r="B3" s="3"/>
      <c r="C3" s="4" t="str">
        <v>調査基準日：2026-10-18</v>
      </c>
      <c r="D3" s="3"/>
      <c r="E3" s="3"/>
    </row>
    <row r="4" ht="53" customHeight="1">
      <c r="C4" s="7" t="str">
        <v>Excelでは入力を変えると発行件数の概算を再計算する。以下は試算例であり利用者の実測値ではない。金額単価はリージョン・契約・段階料金が未確認のため空欄。</v>
      </c>
    </row>
    <row r="6" ht="25" customHeight="1">
      <c r="B6" s="13" t="str">
        <v>発行件数の試算（入力を編集可）</v>
      </c>
      <c r="C6" s="14"/>
      <c r="D6" s="14"/>
      <c r="E6" s="14"/>
    </row>
    <row r="7" ht="28" customHeight="1">
      <c r="B7" s="19" t="str">
        <v>入力・結果</v>
      </c>
      <c r="C7" s="19" t="str">
        <v>値</v>
      </c>
      <c r="D7" s="19" t="str">
        <v>前提・計算の意味</v>
      </c>
      <c r="E7" s="19" t="str">
        <v>区分</v>
      </c>
    </row>
    <row r="8" ht="43" customHeight="1">
      <c r="B8" s="25" t="str">
        <v>API呼出率（RPS）</v>
      </c>
      <c r="C8" s="27" t="n">
        <v>100</v>
      </c>
      <c r="D8" s="25" t="str">
        <v>一定の呼出率。0より大きい数。</v>
      </c>
      <c r="E8" s="25" t="str">
        <v>入力</v>
      </c>
    </row>
    <row r="9" ht="43" customHeight="1">
      <c r="B9" s="25" t="str">
        <v>試験時間（秒）</v>
      </c>
      <c r="C9" s="27" t="n">
        <v>3600</v>
      </c>
      <c r="D9" s="25" t="str">
        <v>開始時に初回token発行。0より大きい数。</v>
      </c>
      <c r="E9" s="25" t="str">
        <v>入力</v>
      </c>
    </row>
    <row r="10" ht="43" customHeight="1">
      <c r="B10" s="25" t="str">
        <v>cache group数</v>
      </c>
      <c r="C10" s="27" t="n">
        <v>100</v>
      </c>
      <c r="D10" s="25" t="str">
        <v>配布JMXでは継続稼働するthread数。正の整数。</v>
      </c>
      <c r="E10" s="25" t="str">
        <v>入力</v>
      </c>
    </row>
    <row r="11" ht="43" customHeight="1">
      <c r="B11" s="25" t="str">
        <v>token TTL（秒）</v>
      </c>
      <c r="C11" s="27" t="n">
        <v>3600</v>
      </c>
      <c r="D11" s="25" t="str">
        <v>実際のExpiresInに合わせる。</v>
      </c>
      <c r="E11" s="25" t="str">
        <v>入力</v>
      </c>
    </row>
    <row r="12" ht="43" customHeight="1">
      <c r="B12" s="25" t="str">
        <v>更新率</v>
      </c>
      <c r="C12" s="28" t="n">
        <v>0.75</v>
      </c>
      <c r="D12" s="25" t="str">
        <v>TTLの何割で更新するか。0より大きく1未満。</v>
      </c>
      <c r="E12" s="25" t="str">
        <v>入力</v>
      </c>
    </row>
    <row r="13" ht="43" customHeight="1">
      <c r="B13" s="21" t="str">
        <v>更新間隔（秒）</v>
      </c>
      <c r="C13" s="30" t="n">
        <f>C11*C12</f>
        <v>2700</v>
      </c>
      <c r="D13" s="21" t="str">
        <v>token TTL × 更新率。</v>
      </c>
      <c r="E13" s="21" t="str">
        <v>計算</v>
      </c>
    </row>
    <row r="14" ht="43" customHeight="1">
      <c r="B14" s="7" t="str">
        <v>API総呼出数</v>
      </c>
      <c r="C14" s="32" t="n">
        <f>C8*C9</f>
        <v>360000</v>
      </c>
      <c r="D14" s="7" t="str">
        <v>API呼出率 × 試験時間。</v>
      </c>
      <c r="E14" s="7" t="str">
        <v>計算</v>
      </c>
    </row>
    <row r="15" ht="43" customHeight="1">
      <c r="B15" s="21" t="str">
        <v>毎回取得した場合</v>
      </c>
      <c r="C15" s="30" t="n">
        <f>C14</f>
        <v>360000</v>
      </c>
      <c r="D15" s="21" t="str">
        <v>API呼出ごとにtokenを発行する比較値。</v>
      </c>
      <c r="E15" s="21" t="str">
        <v>計算</v>
      </c>
    </row>
    <row r="16" ht="43" customHeight="1">
      <c r="B16" s="7" t="str">
        <v>cache再利用時発行数</v>
      </c>
      <c r="C16" s="32" t="n">
        <f>C10*ROUNDUP(C9/C13,0)</f>
        <v>200</v>
      </c>
      <c r="D16" s="7" t="str">
        <v>cache group数 × 切上げ(試験時間 / 更新間隔)。</v>
      </c>
      <c r="E16" s="7" t="str">
        <v>計算</v>
      </c>
    </row>
    <row r="17" ht="43" customHeight="1">
      <c r="B17" s="22" t="str">
        <v>削減率</v>
      </c>
      <c r="C17" s="34" t="n">
        <f>1-C16/C15</f>
        <v>0.9994444444444445</v>
      </c>
      <c r="D17" s="22" t="str">
        <v>1 - cache再利用時発行数 / 毎回取得数。</v>
      </c>
      <c r="E17" s="22" t="str">
        <v>計算</v>
      </c>
    </row>
    <row r="20" ht="25" customHeight="1">
      <c r="B20" s="13" t="str">
        <v>料金単価（未入力。金額は確定しない）</v>
      </c>
      <c r="C20" s="14"/>
      <c r="D20" s="14"/>
      <c r="E20" s="14"/>
    </row>
    <row r="21" ht="28" customHeight="1">
      <c r="B21" s="19" t="str">
        <v>入力項目</v>
      </c>
      <c r="C21" s="19" t="str">
        <v>値</v>
      </c>
      <c r="D21" s="19" t="str">
        <v>使い方・不足情報</v>
      </c>
      <c r="E21" s="19" t="str">
        <v>状態</v>
      </c>
    </row>
    <row r="22" ht="48" customHeight="1">
      <c r="B22" s="7" t="str">
        <v>成功token 1,000回の単価</v>
      </c>
      <c r="C22" s="36"/>
      <c r="D22" s="7" t="str">
        <v>対象リージョンと月間tierの単価を確認して入力。</v>
      </c>
      <c r="E22" s="7" t="str">
        <v>未確認</v>
      </c>
    </row>
    <row r="23" ht="48" customHeight="1">
      <c r="B23" s="21" t="str">
        <v>VPCE AZ時間単価</v>
      </c>
      <c r="C23" s="36"/>
      <c r="D23" s="21" t="str">
        <v>サービス・リージョン・AZ数と稼働時間を確認。</v>
      </c>
      <c r="E23" s="21" t="str">
        <v>未確認</v>
      </c>
    </row>
    <row r="24" ht="48" customHeight="1">
      <c r="B24" s="7" t="str">
        <v>VPCE処理GB単価</v>
      </c>
      <c r="C24" s="36"/>
      <c r="D24" s="7" t="str">
        <v>処理データ量と段階料金を確認。</v>
      </c>
      <c r="E24" s="7" t="str">
        <v>未確認</v>
      </c>
    </row>
    <row r="27" ht="25" customHeight="1">
      <c r="B27" s="13" t="str">
        <v>発行負荷と料金の考え方</v>
      </c>
      <c r="C27" s="14"/>
      <c r="D27" s="14"/>
      <c r="E27" s="14"/>
    </row>
    <row r="28" ht="28" customHeight="1">
      <c r="B28" s="19" t="str">
        <v>項目</v>
      </c>
      <c r="C28" s="19" t="str">
        <v>意味・判断根拠</v>
      </c>
      <c r="D28" s="19" t="str">
        <v>設定・運用への反映</v>
      </c>
      <c r="E28" s="19" t="str">
        <v>根拠</v>
      </c>
    </row>
    <row r="29" ht="40" customHeight="1">
      <c r="B29" s="20" t="str">
        <v>毎回取得する場合</v>
      </c>
      <c r="C29" s="7" t="str">
        <v>API 100回/秒 × 3,600秒 = 360,000回のtoken取得。</v>
      </c>
      <c r="D29" s="7" t="str">
        <v>業務API性能にtoken発行の遅延・上限・料金が混ざる。M2M発行性能試験として意図的に行う場合を除き避ける。</v>
      </c>
      <c r="E29" s="7" t="str">
        <v>試算例</v>
      </c>
    </row>
    <row r="30" ht="40" customHeight="1">
      <c r="B30" s="22" t="str">
        <v>threadごとに再利用</v>
      </c>
      <c r="C30" s="21" t="str">
        <v>100 cache group、TTL=3,600秒、更新率75%なら更新間隔2,700秒。1時間に各group最大2回、合計200回を概算。</v>
      </c>
      <c r="D30" s="21" t="str">
        <v>API呼出360,000回に対し約99.944%削減。全groupが試験開始から継続稼働する前提。再試行や再起動による増分は含まない。</v>
      </c>
      <c r="E30" s="21" t="str">
        <v>試算例</v>
      </c>
    </row>
    <row r="31" ht="40" customHeight="1">
      <c r="B31" s="20" t="str">
        <v>共有cacheの場合</v>
      </c>
      <c r="C31" s="7" t="str">
        <v>cache group数を減らすほど発行回数を減らせる。共有の可否は同じclientと同じscopeかで判断。</v>
      </c>
      <c r="D31" s="7" t="str">
        <v>clientや権限が異なるtokenを共有しない。workerをまたぐ共有には別の安全な実装が必要。</v>
      </c>
      <c r="E31" s="7" t="str">
        <v>設計提案</v>
      </c>
    </row>
    <row r="32" ht="40" customHeight="1">
      <c r="B32" s="22" t="str">
        <v>クォータ</v>
      </c>
      <c r="C32" s="21" t="str">
        <v>公式クォータ表のClientAuthenticationにはclient_credentialsとGetClientTokenが含まれ、取得時点では150 RPSの記載。</v>
      </c>
      <c r="D32" s="21" t="str">
        <v>口座・リージョンの実適用値、共有される範囲、引上げ可否を運用時に再確認。150を1client専用の保証値として扱わない。</v>
      </c>
      <c r="E32" s="21" t="str">
        <v>S17</v>
      </c>
    </row>
    <row r="33" ht="40" customHeight="1">
      <c r="B33" s="20" t="str">
        <v>M2M料金の最新確認</v>
      </c>
      <c r="C33" s="7" t="str">
        <v>調査時点の料金ページは成功token応答に応じた月額課金、登録app client数への追加料金なしと説明。</v>
      </c>
      <c r="D33" s="7" t="str">
        <v>開発ガイドにはactive client数にも触れる記述が残る。金額判断は公式料金ページ・請求条件を優先し、旧固定費を無条件に加えない。</v>
      </c>
      <c r="E33" s="7" t="str">
        <v>S18 S04</v>
      </c>
    </row>
    <row r="34" ht="40" customHeight="1">
      <c r="B34" s="22" t="str">
        <v>PrivateLink料金</v>
      </c>
      <c r="C34" s="21" t="str">
        <v>Interface VPCEはAZごとの時間と処理データ等に応じて料金が発生する。</v>
      </c>
      <c r="D34" s="21" t="str">
        <v>Cognito用とexecute-api用の両方、必要AZ数、NLB・Private Connect・API・Logs等の追加費用を含める。</v>
      </c>
      <c r="E34" s="21" t="str">
        <v>S19</v>
      </c>
    </row>
    <row r="35" ht="40" customHeight="1">
      <c r="B35" s="20" t="str">
        <v>概算式の限界</v>
      </c>
      <c r="C35" s="7" t="str">
        <v>一定のAPI負荷、一定TTL、等しい更新率、試験開始時の初回発行を仮定する。</v>
      </c>
      <c r="D35" s="7" t="str">
        <v>75～80%のゆらぎ・停止時間・cache miss・retry・engine再起動・分散共有の詳細は実測に置き換える。</v>
      </c>
      <c r="E35" s="7" t="str">
        <v>試算例</v>
      </c>
    </row>
    <row r="37" ht="25" customHeight="1">
      <c r="B37" s="13" t="str">
        <v>Excelの入力と式</v>
      </c>
      <c r="C37" s="14"/>
      <c r="D37" s="14"/>
      <c r="E37" s="14"/>
    </row>
    <row r="38" ht="28" customHeight="1">
      <c r="B38" s="19" t="str">
        <v>項目</v>
      </c>
      <c r="C38" s="19" t="str">
        <v>意味・判断根拠</v>
      </c>
      <c r="D38" s="19" t="str">
        <v>設定・運用への反映</v>
      </c>
      <c r="E38" s="19" t="str">
        <v>根拠</v>
      </c>
    </row>
    <row r="39" ht="37" customHeight="1">
      <c r="B39" s="20" t="str">
        <v>API呼出率</v>
      </c>
      <c r="C39" s="7" t="str">
        <v>100 RPS（例）</v>
      </c>
      <c r="D39" s="7" t="str">
        <v>入力。API総数＝RPS×試験秒数。</v>
      </c>
      <c r="E39" s="7" t="str">
        <v>試算例</v>
      </c>
    </row>
    <row r="40" ht="37" customHeight="1">
      <c r="B40" s="22" t="str">
        <v>試験時間</v>
      </c>
      <c r="C40" s="21" t="str">
        <v>3,600秒（例）</v>
      </c>
      <c r="D40" s="21" t="str">
        <v>入力。試験区間は開始以上・終了未満で数える。</v>
      </c>
      <c r="E40" s="21" t="str">
        <v>試算例</v>
      </c>
    </row>
    <row r="41" ht="37" customHeight="1">
      <c r="B41" s="20" t="str">
        <v>cache group数</v>
      </c>
      <c r="C41" s="7" t="str">
        <v>100（例）</v>
      </c>
      <c r="D41" s="7" t="str">
        <v>入力。配布JMXでは同時稼働thread数に相当する。</v>
      </c>
      <c r="E41" s="7" t="str">
        <v>試算例</v>
      </c>
    </row>
    <row r="42" ht="37" customHeight="1">
      <c r="B42" s="22" t="str">
        <v>token TTL</v>
      </c>
      <c r="C42" s="21" t="str">
        <v>3,600秒（例）</v>
      </c>
      <c r="D42" s="21" t="str">
        <v>入力。実際のExpiresInに合わせる。</v>
      </c>
      <c r="E42" s="21" t="str">
        <v>試算例</v>
      </c>
    </row>
    <row r="43" ht="37" customHeight="1">
      <c r="B43" s="20" t="str">
        <v>更新率</v>
      </c>
      <c r="C43" s="7" t="str">
        <v>75%（例）</v>
      </c>
      <c r="D43" s="7" t="str">
        <v>入力。更新間隔＝TTL×更新率。0より大きく1未満。</v>
      </c>
      <c r="E43" s="7" t="str">
        <v>試算例</v>
      </c>
    </row>
    <row r="44" ht="40" customHeight="1">
      <c r="B44" s="22" t="str">
        <v>cache使用時発行数</v>
      </c>
      <c r="C44" s="21" t="str">
        <v>group数×ROUNDUP(試験秒数÷更新間隔,0)</v>
      </c>
      <c r="D44" s="21" t="str">
        <v>試験中ずっと各groupがtokenを必要とする前提。実装が停止中なら少なくなる。</v>
      </c>
      <c r="E44" s="21" t="str">
        <v>試算例</v>
      </c>
    </row>
    <row r="45" ht="37" customHeight="1">
      <c r="B45" s="20" t="str">
        <v>金額</v>
      </c>
      <c r="C45" s="7" t="str">
        <v>成功token数を月間段階料金へ当てはめ、VPCE／NLB等を加算。</v>
      </c>
      <c r="D45" s="7" t="str">
        <v>単価は未入力。単一単価の単純乗算は該当tier内の参考値に限る。</v>
      </c>
      <c r="E45" s="7" t="str">
        <v>S18 S19</v>
      </c>
    </row>
  </sheetData>
  <dataValidations count="4">
    <dataValidation type="decimal" operator="greaterThan" sqref="C8:C9">
      <formula1>0</formula1>
    </dataValidation>
    <dataValidation type="whole" operator="greaterThan" sqref="C10">
      <formula1>0</formula1>
    </dataValidation>
    <dataValidation type="whole" operator="between" sqref="C11">
      <formula1>300</formula1>
      <formula2>86400</formula2>
    </dataValidation>
    <dataValidation type="decimal" operator="between" sqref="C12">
      <formula1>0.01</formula1>
      <formula2>0.99</formula2>
    </dataValidation>
  </dataValidations>
  <pageMargins left="0.25" right="0.25" top="0.35" bottom="0.35" header="0.15" footer="0.15"/>
  <pageSetup paperSize="8"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BBBBBB"/>
    <pageSetUpPr fitToPage="1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3" hidden="0" customWidth="1"/>
    <col min="2" max="2" width="30" hidden="0" customWidth="1"/>
    <col min="3" max="3" width="72" hidden="0" customWidth="1"/>
    <col min="4" max="4" width="61" hidden="0" customWidth="1"/>
    <col min="5" max="5" width="18" hidden="0" customWidth="1"/>
    <col min="6" max="6" width="3" hidden="0" customWidth="1"/>
  </cols>
  <sheetData>
    <row r="2" ht="30" customHeight="1">
      <c r="B2" s="2" t="str">
        <v>09 根拠と未確定</v>
      </c>
    </row>
    <row r="3" ht="23" customHeight="1">
      <c r="B3" s="3"/>
      <c r="C3" s="4" t="str">
        <v>調査基準日：2026-10-18</v>
      </c>
      <c r="D3" s="3"/>
      <c r="E3" s="3"/>
    </row>
    <row r="4" ht="53" customHeight="1">
      <c r="C4" s="7" t="str">
        <v>公式一次資料を2026-10-18に確認。検索結果の抜粋が古い場合があるため、重要箇所はページ本文も直接取得して確認した。環境固有の値や未検証事項を下記に分離する。</v>
      </c>
    </row>
    <row r="6" ht="25" customHeight="1">
      <c r="B6" s="13" t="str">
        <v>未提示の前提と採用方針</v>
      </c>
      <c r="C6" s="14"/>
      <c r="D6" s="14"/>
      <c r="E6" s="14"/>
    </row>
    <row r="7" ht="28" customHeight="1">
      <c r="B7" s="19" t="str">
        <v>項目</v>
      </c>
      <c r="C7" s="19" t="str">
        <v>意味・判断根拠</v>
      </c>
      <c r="D7" s="19" t="str">
        <v>設定・運用への反映</v>
      </c>
      <c r="E7" s="19" t="str">
        <v>根拠</v>
      </c>
    </row>
    <row r="8" ht="40" customHeight="1">
      <c r="B8" s="20" t="str">
        <v>リージョン</v>
      </c>
      <c r="C8" s="7" t="str">
        <v>未提示。東京リージョンをコード例に採用。</v>
      </c>
      <c r="D8" s="7" t="str">
        <v>本番適用前に対象リージョンのGetClientToken／PrivateLink提供を確認。例のリージョン文字列だけを変えて完了としない。</v>
      </c>
      <c r="E8" s="7" t="str">
        <v>利用者確認待ち</v>
      </c>
    </row>
    <row r="9" ht="40" customHeight="1">
      <c r="B9" s="22" t="str">
        <v>Cognitoドメイン</v>
      </c>
      <c r="C9" s="21" t="str">
        <v>有無と利用者が未確認。既存M2MがOAuthドメインを使う可能性がある。</v>
      </c>
      <c r="D9" s="21" t="str">
        <v>既存プールは維持し、閉域専用のドメインなしプールでPoCを行う案を提示。</v>
      </c>
      <c r="E9" s="21" t="str">
        <v>設計上の仮定</v>
      </c>
    </row>
    <row r="10" ht="40" customHeight="1">
      <c r="B10" s="20" t="str">
        <v>APIの認可方式</v>
      </c>
      <c r="C10" s="7" t="str">
        <v>COGNITO_USER_POOLSかLambda authorizerか未確認。</v>
      </c>
      <c r="D10" s="7" t="str">
        <v>標準Cognito authorizerの具体手順を記載。LambdaならJWKS・issuer・client制限・キャッシュを追加確認。</v>
      </c>
      <c r="E10" s="7" t="str">
        <v>利用者確認待ち</v>
      </c>
    </row>
    <row r="11" ht="40" customHeight="1">
      <c r="B11" s="22" t="str">
        <v>NLB／VPCEの配置</v>
      </c>
      <c r="C11" s="21" t="str">
        <v>NLBからVPCEを経由するという情報以外は未確認。</v>
      </c>
      <c r="D11" s="21" t="str">
        <v>現在の構成図として断定せず、Salesforce経路の想定図として提示する。</v>
      </c>
      <c r="E11" s="21" t="str">
        <v>利用者確認待ち</v>
      </c>
    </row>
    <row r="12" ht="40" customHeight="1">
      <c r="B12" s="20" t="str">
        <v>Salesforce Private Connect</v>
      </c>
      <c r="C12" s="7" t="str">
        <v>利用有無・契約・接続リージョン・認証先の経路が未確認。</v>
      </c>
      <c r="D12" s="7" t="str">
        <v>Salesforce本体の閉域要件にはPrivate Connect等の別確認が必要。AWS内JMeterだけの成功をSalesforce全体の保証にしない。</v>
      </c>
      <c r="E12" s="7" t="str">
        <v>利用者確認待ち</v>
      </c>
    </row>
    <row r="13" ht="40" customHeight="1">
      <c r="B13" s="22" t="str">
        <v>実績値と価格</v>
      </c>
      <c r="C13" s="21" t="str">
        <v>RPS、同時数、TTL、月間発行数、AZ数、料金単価は未提示。</v>
      </c>
      <c r="D13" s="21" t="str">
        <v>Excelの負荷数は例示。単価は空欄のまま入力欄を用意し、実額を捏造しない。</v>
      </c>
      <c r="E13" s="21" t="str">
        <v>試算上の仮定</v>
      </c>
    </row>
    <row r="15" ht="25" customHeight="1">
      <c r="B15" s="13" t="str">
        <v>公式文書に差がある箇所</v>
      </c>
      <c r="C15" s="14"/>
      <c r="D15" s="14"/>
      <c r="E15" s="14"/>
    </row>
    <row r="16" ht="28" customHeight="1">
      <c r="B16" s="19" t="str">
        <v>項目</v>
      </c>
      <c r="C16" s="19" t="str">
        <v>意味・判断根拠</v>
      </c>
      <c r="D16" s="19" t="str">
        <v>設定・運用への反映</v>
      </c>
      <c r="E16" s="19" t="str">
        <v>根拠</v>
      </c>
    </row>
    <row r="17" ht="55" customHeight="1">
      <c r="B17" s="20" t="str">
        <v>ドメインとPrivateLink</v>
      </c>
      <c r="C17" s="7" t="str">
        <v>S03の表注記は「domainありpoolは非対応」、運用例もdomain削除を示す。一方、後半にはSDK API全般の対応を示す一般記述がある。</v>
      </c>
      <c r="D17" s="7" t="str">
        <v>domainなし構成を安全な共通条件として採用。既存domain付きpoolのGetClientToken共存は未確認としてPoC／AWS問い合わせ事項に残す。</v>
      </c>
      <c r="E17" s="7" t="str">
        <v>S03</v>
      </c>
    </row>
    <row r="18" ht="40" customHeight="1">
      <c r="B18" s="22" t="str">
        <v>新しいclient flow</v>
      </c>
      <c r="C18" s="21" t="str">
        <v>S04・S02はALLOW_CLIENT_TOKEN_AUTHを明示。S35の汎用設定説明は新フローと整合しない箇所がある。</v>
      </c>
      <c r="D18" s="21" t="str">
        <v>新M2M専用説明を基準にし、最新モデルと実サービスで確認する。古いSDKのエラーとサービス側の制約を分ける。</v>
      </c>
      <c r="E18" s="21" t="str">
        <v>S02 S04 S35</v>
      </c>
    </row>
    <row r="19" ht="40" customHeight="1">
      <c r="B19" s="20" t="str">
        <v>料金体系</v>
      </c>
      <c r="C19" s="7" t="str">
        <v>S04のactive M2M client記述と、S18の登録client数への追加料金なしという料金説明に差がある。</v>
      </c>
      <c r="D19" s="7" t="str">
        <v>現在の金額判断ではS18とアカウントの課金条件を優先。旧料金を固定値としてExcelに組み込まない。</v>
      </c>
      <c r="E19" s="7" t="str">
        <v>S04 S18</v>
      </c>
    </row>
    <row r="20" ht="40" customHeight="1">
      <c r="B20" s="22" t="str">
        <v>Issuer互換性の古い抜粋</v>
      </c>
      <c r="C20" s="21" t="str">
        <v>検索抜粋にはUPDATED issuerとAPI Gatewayの非互換が残るが、直接取得したS38本文の非互換注記はALB authenticate-cognitoについて記載していた。</v>
      </c>
      <c r="D20" s="21" t="str">
        <v>古い抜粋だけでAPI Gateway全般を非対応としない。今回issuer変更は行わず、実tokenと対象authorizerで互換性を検証する。</v>
      </c>
      <c r="E20" s="21" t="str">
        <v>S38</v>
      </c>
    </row>
    <row r="22" ht="25" customHeight="1">
      <c r="B22" s="13" t="str">
        <v>実施済み確認と未実施の範囲</v>
      </c>
      <c r="C22" s="14"/>
      <c r="D22" s="14"/>
      <c r="E22" s="14"/>
    </row>
    <row r="23" ht="28" customHeight="1">
      <c r="B23" s="19" t="str">
        <v>項目</v>
      </c>
      <c r="C23" s="19" t="str">
        <v>意味・判断根拠</v>
      </c>
      <c r="D23" s="19" t="str">
        <v>設定・運用への反映</v>
      </c>
      <c r="E23" s="19" t="str">
        <v>根拠</v>
      </c>
    </row>
    <row r="24" ht="40" customHeight="1">
      <c r="B24" s="20" t="str">
        <v>公式資料</v>
      </c>
      <c r="C24" s="7" t="str">
        <v>GetClientToken公開日、API契約、PrivateLink、Private API、Salesforce、JMeter仕様の一次資料を取得。</v>
      </c>
      <c r="D24" s="7" t="str">
        <v>取得日時と出典URLを本資料に記載。サービス仕様は導入時にも再確認する。</v>
      </c>
      <c r="E24" s="7" t="str">
        <v>調査実施済み</v>
      </c>
    </row>
    <row r="25" ht="40" customHeight="1">
      <c r="B25" s="22" t="str">
        <v>ローカルCLI</v>
      </c>
      <c r="C25" s="21" t="str">
        <v>Windows PowerShell 5.1、AWS CLI 2.28.21、Java 17.0.11を確認。CLIは新APIに未対応。</v>
      </c>
      <c r="D25" s="21" t="str">
        <v>AWSの認証情報や実secretは読み出していない。管理リソースの作成・更新・削除は未実施。</v>
      </c>
      <c r="E25" s="21" t="str">
        <v>ローカル確認</v>
      </c>
    </row>
    <row r="26" ht="40" customHeight="1">
      <c r="B26" s="20" t="str">
        <v>実環境</v>
      </c>
      <c r="C26" s="7" t="str">
        <v>AWS VPCE経由のtoken取得、Private API認可、Salesforce接続の実試験は未実施。</v>
      </c>
      <c r="D26" s="7" t="str">
        <v>対象環境の情報と承認済み試験機が必要。ローカル模擬通信の成功をAWS実環境の成功として報告しない。</v>
      </c>
      <c r="E26" s="7" t="str">
        <v>未検証</v>
      </c>
    </row>
    <row r="28" ht="25" customHeight="1">
      <c r="B28" s="13" t="str">
        <v>成果物の検証結果</v>
      </c>
      <c r="C28" s="14"/>
      <c r="D28" s="14"/>
      <c r="E28" s="14"/>
    </row>
    <row r="29" ht="28" customHeight="1">
      <c r="B29" s="19" t="str">
        <v>項目</v>
      </c>
      <c r="C29" s="19" t="str">
        <v>意味・判断根拠</v>
      </c>
      <c r="D29" s="19" t="str">
        <v>設定・運用への反映</v>
      </c>
      <c r="E29" s="19" t="str">
        <v>根拠</v>
      </c>
    </row>
    <row r="30" ht="40" customHeight="1">
      <c r="B30" s="20" t="str">
        <v>JMeter実行環境</v>
      </c>
      <c r="C30" s="7" t="str">
        <v>公式配布のJMeter 5.6.3をSHA-512確認後、Java 17でローカルHTTPS模擬サーバーへ実行した。</v>
      </c>
      <c r="D30" s="7" t="str">
        <v>AWS・Salesforceへは接続していない。模擬tokenは署名検証済みのCognito JWTではなく、クライアント処理確認用のダミー。</v>
      </c>
      <c r="E30" s="7" t="str">
        <v>ローカル検証</v>
      </c>
    </row>
    <row r="31" ht="40" customHeight="1">
      <c r="B31" s="22" t="str">
        <v>JMeter正常・更新</v>
      </c>
      <c r="C31" s="21" t="str">
        <v>7ケース中、cache再利用は発行1回／API3回、短い模擬TTLでの更新は発行3回／API3回を確認。</v>
      </c>
      <c r="D31" s="21" t="str">
        <v>実時間を使う更新試験。これはCognito実サービスでのTTL設定下限を変更したものではない。</v>
      </c>
      <c r="E31" s="21" t="str">
        <v>成功</v>
      </c>
    </row>
    <row r="32" ht="40" customHeight="1">
      <c r="B32" s="20" t="str">
        <v>JMeter異常系</v>
      </c>
      <c r="C32" s="7" t="str">
        <v>誤secret・TTL不正・未信頼CA・ホスト名不一致・API 401で、失敗を検知して後続thread処理を停止した。</v>
      </c>
      <c r="D32" s="7" t="str">
        <v>7ケースすべてで模擬secret／tokenがJTL・実行ログに出ていないことを確認。終了コード0でもsample失敗を検出する必要がある。</v>
      </c>
      <c r="E32" s="7" t="str">
        <v>期待どおり拒否</v>
      </c>
    </row>
    <row r="33" ht="40" customHeight="1">
      <c r="B33" s="22" t="str">
        <v>Pythonロジック</v>
      </c>
      <c r="C33" s="21" t="str">
        <v>cache再利用、同時更新の排他、期限による再取得、更新失敗、TTL不正、HTTP要求形式、HTTPエラーの7テストが成功。</v>
      </c>
      <c r="D33" s="21" t="str">
        <v>SDK依存はテスト用スタブを使った。実boto3によるAWS API呼出は未実施。Python構文も確認。</v>
      </c>
      <c r="E33" s="21" t="str">
        <v>ローカル検証</v>
      </c>
    </row>
    <row r="34" ht="40" customHeight="1">
      <c r="B34" s="20" t="str">
        <v>PowerShell</v>
      </c>
      <c r="C34" s="7" t="str">
        <v>Windows PowerShell 5.1の構文解析でget_token.ps1にエラーなし。</v>
      </c>
      <c r="D34" s="7" t="str">
        <v>実Cognitoに対する実行は未実施。Windowsの証明書ストアは変更していない。</v>
      </c>
      <c r="E34" s="7" t="str">
        <v>構文確認</v>
      </c>
    </row>
    <row r="35" ht="40" customHeight="1">
      <c r="B35" s="22" t="str">
        <v>Bash</v>
      </c>
      <c r="C35" s="21" t="str">
        <v>Git Bashで構文チェックを試みたが、起動時にsignal pipe作成のWin32 error 5となった。</v>
      </c>
      <c r="D35" s="21" t="str">
        <v>Bashスクリプトは静的レビューのみ。Linux／WSL実行環境でbash -nと少数要求を実施する。</v>
      </c>
      <c r="E35" s="21" t="str">
        <v>実行未検証</v>
      </c>
    </row>
    <row r="36" ht="40" customHeight="1">
      <c r="B36" s="20" t="str">
        <v>Java SDK</v>
      </c>
      <c r="C36" s="7" t="str">
        <v>GetClientTokenRequest等は公式Java SDK資料で確認。Java抜粋は対応SDK依存をこのPCへ導入していない。</v>
      </c>
      <c r="D36" s="7" t="str">
        <v>導入先の固定したSDK BOMとHTTP実装でコンパイル・試験する。Java標準HTTPを使うJMeter例の実行確認とは別。</v>
      </c>
      <c r="E36" s="7" t="str">
        <v>コンパイル未実施</v>
      </c>
    </row>
    <row r="37" ht="40" customHeight="1">
      <c r="B37" s="22" t="str">
        <v>Excel</v>
      </c>
      <c r="C37" s="21" t="str">
        <v>10シートを生成して各シートを画像化し、日本語・列幅・行高・構成図を確認。負荷試算の入力変更と元値への復元を確認。</v>
      </c>
      <c r="D37" s="21" t="str">
        <v>数式のエラー走査と、保存後のセル書式／数式／キャッシュ値を確認する。ネイティブExcelアプリでの操作試験は未実施。</v>
      </c>
      <c r="E37" s="21" t="str">
        <v>ファイル検証</v>
      </c>
    </row>
    <row r="38" ht="40" customHeight="1">
      <c r="B38" s="20" t="str">
        <v>差分の確認</v>
      </c>
      <c r="C38" s="7" t="str">
        <v>作業ディレクトリはGitリポジトリではなかった。既存ファイルもなく、新規成果物だけを生成した。</v>
      </c>
      <c r="D38" s="7" t="str">
        <v>git diff --no-index --checkと生成テキストの空白・文字化け・機密混入の静的確認を実施する。</v>
      </c>
      <c r="E38" s="7" t="str">
        <v>新規作成</v>
      </c>
    </row>
    <row r="40" ht="25" customHeight="1">
      <c r="B40" s="13" t="str">
        <v>出典一覧</v>
      </c>
      <c r="C40" s="14"/>
      <c r="D40" s="14"/>
      <c r="E40" s="14"/>
    </row>
    <row r="41" ht="28" customHeight="1">
      <c r="B41" s="19" t="str">
        <v>ID</v>
      </c>
      <c r="C41" s="19" t="str">
        <v>公式資料・確認対象</v>
      </c>
      <c r="D41" s="19" t="str">
        <v>URL</v>
      </c>
      <c r="E41" s="19" t="str">
        <v>確認日</v>
      </c>
    </row>
    <row r="42" ht="40" customHeight="1">
      <c r="B42" s="20" t="str">
        <v>S01</v>
      </c>
      <c r="C42" s="7" t="str">
        <v>GetClientTokenの提供開始（2026-08-31）</v>
      </c>
      <c r="D42" s="7" t="str">
        <v>https://aws.amazon.com/about-aws/whats-new/2026/08/amazon-cognito-get-client-token/</v>
      </c>
      <c r="E42" s="7" t="str">
        <v>2026-10-18</v>
      </c>
    </row>
    <row r="43" ht="40" customHeight="1">
      <c r="B43" s="22" t="str">
        <v>S02</v>
      </c>
      <c r="C43" s="21" t="str">
        <v>GetClientToken API契約</v>
      </c>
      <c r="D43" s="21" t="str">
        <v>https://docs.aws.amazon.com/cognito-user-identity-pools/latest/APIReference/API_GetClientToken.html</v>
      </c>
      <c r="E43" s="21" t="str">
        <v>2026-10-18</v>
      </c>
    </row>
    <row r="44" ht="40" customHeight="1">
      <c r="B44" s="20" t="str">
        <v>S03</v>
      </c>
      <c r="C44" s="7" t="str">
        <v>Cognito PrivateLinkの制約・ポリシー</v>
      </c>
      <c r="D44" s="7" t="str">
        <v>https://docs.aws.amazon.com/cognito/latest/developerguide/vpc-interface-endpoints.html</v>
      </c>
      <c r="E44" s="7" t="str">
        <v>2026-10-18</v>
      </c>
    </row>
    <row r="45" ht="40" customHeight="1">
      <c r="B45" s="22" t="str">
        <v>S04</v>
      </c>
      <c r="C45" s="21" t="str">
        <v>M2M・スコープ・GetClientToken設定</v>
      </c>
      <c r="D45" s="21" t="str">
        <v>https://docs.aws.amazon.com/cognito/latest/developerguide/cognito-user-pools-define-resource-servers.html</v>
      </c>
      <c r="E45" s="21" t="str">
        <v>2026-10-18</v>
      </c>
    </row>
    <row r="46" ht="40" customHeight="1">
      <c r="B46" s="20" t="str">
        <v>S05</v>
      </c>
      <c r="C46" s="7" t="str">
        <v>AWS CLI get-client-token</v>
      </c>
      <c r="D46" s="7" t="str">
        <v>https://docs.aws.amazon.com/cli/latest/reference/cognito-idp/get-client-token.html</v>
      </c>
      <c r="E46" s="7" t="str">
        <v>2026-10-18</v>
      </c>
    </row>
    <row r="47" ht="40" customHeight="1">
      <c r="B47" s="22" t="str">
        <v>S06</v>
      </c>
      <c r="C47" s="21" t="str">
        <v>従来のOAuthトークンエンドポイント</v>
      </c>
      <c r="D47" s="21" t="str">
        <v>https://docs.aws.amazon.com/cognito/latest/developerguide/token-endpoint.html</v>
      </c>
      <c r="E47" s="21" t="str">
        <v>2026-10-18</v>
      </c>
    </row>
    <row r="48" ht="40" customHeight="1">
      <c r="B48" s="20" t="str">
        <v>S07</v>
      </c>
      <c r="C48" s="7" t="str">
        <v>Private REST API</v>
      </c>
      <c r="D48" s="7" t="str">
        <v>https://docs.aws.amazon.com/apigateway/latest/developerguide/apigateway-private-apis.html</v>
      </c>
      <c r="E48" s="7" t="str">
        <v>2026-10-18</v>
      </c>
    </row>
    <row r="49" ht="40" customHeight="1">
      <c r="B49" s="22" t="str">
        <v>S08</v>
      </c>
      <c r="C49" s="21" t="str">
        <v>Private APIのURL・Host・x-apigw-api-id</v>
      </c>
      <c r="D49" s="21" t="str">
        <v>https://docs.aws.amazon.com/apigateway/latest/developerguide/apigateway-private-api-test-invoke-url.html</v>
      </c>
      <c r="E49" s="21" t="str">
        <v>2026-10-18</v>
      </c>
    </row>
    <row r="50" ht="40" customHeight="1">
      <c r="B50" s="20" t="str">
        <v>S09</v>
      </c>
      <c r="C50" s="7" t="str">
        <v>API Gateway VPCEポリシーとBearer</v>
      </c>
      <c r="D50" s="7" t="str">
        <v>https://docs.aws.amazon.com/apigateway/latest/developerguide/apigateway-vpc-endpoint-policies.html</v>
      </c>
      <c r="E50" s="7" t="str">
        <v>2026-10-18</v>
      </c>
    </row>
    <row r="51" ht="40" customHeight="1">
      <c r="B51" s="22" t="str">
        <v>S10</v>
      </c>
      <c r="C51" s="21" t="str">
        <v>REST APIのCognitoオーソライザー設定</v>
      </c>
      <c r="D51" s="21" t="str">
        <v>https://docs.aws.amazon.com/apigateway/latest/developerguide/apigateway-enable-cognito-user-pool.html</v>
      </c>
      <c r="E51" s="21" t="str">
        <v>2026-10-18</v>
      </c>
    </row>
    <row r="52" ht="40" customHeight="1">
      <c r="B52" s="20" t="str">
        <v>S11</v>
      </c>
      <c r="C52" s="7" t="str">
        <v>APIリソースポリシーとSourceVpce</v>
      </c>
      <c r="D52" s="7" t="str">
        <v>https://docs.aws.amazon.com/apigateway/latest/developerguide/apigateway-resource-policies-examples.html</v>
      </c>
      <c r="E52" s="7" t="str">
        <v>2026-10-18</v>
      </c>
    </row>
    <row r="53" ht="55" customHeight="1">
      <c r="B53" s="22" t="str">
        <v>S12</v>
      </c>
      <c r="C53" s="21" t="str">
        <v>CognitoのPython SDK公式例</v>
      </c>
      <c r="D53" s="21" t="str">
        <v>https://docs.aws.amazon.com/cognito/latest/developerguide/cognito-identity-provider_example_cognito-identity-provider_GetClientToken_section.html</v>
      </c>
      <c r="E53" s="21" t="str">
        <v>2026-10-18</v>
      </c>
    </row>
    <row r="54" ht="55" customHeight="1">
      <c r="B54" s="20" t="str">
        <v>S13</v>
      </c>
      <c r="C54" s="7" t="str">
        <v>Java SDK GetClientTokenRequest</v>
      </c>
      <c r="D54" s="7" t="str">
        <v>https://docs.aws.amazon.com/java/api/latest/software/amazon/awssdk/services/cognitoidentityprovider/model/GetClientTokenRequest.html</v>
      </c>
      <c r="E54" s="7" t="str">
        <v>2026-10-18</v>
      </c>
    </row>
    <row r="55" ht="40" customHeight="1">
      <c r="B55" s="22" t="str">
        <v>S14</v>
      </c>
      <c r="C55" s="21" t="str">
        <v>アクセストークンの意味・有効期限</v>
      </c>
      <c r="D55" s="21" t="str">
        <v>https://docs.aws.amazon.com/cognito/latest/developerguide/amazon-cognito-user-pools-using-the-access-token.html</v>
      </c>
      <c r="E55" s="21" t="str">
        <v>2026-10-18</v>
      </c>
    </row>
    <row r="56" ht="55" customHeight="1">
      <c r="B56" s="20" t="str">
        <v>S15</v>
      </c>
      <c r="C56" s="7" t="str">
        <v>JWTの検証</v>
      </c>
      <c r="D56" s="7" t="str">
        <v>https://docs.aws.amazon.com/cognito/latest/developerguide/amazon-cognito-user-pools-using-tokens-verifying-a-jwt.html</v>
      </c>
      <c r="E56" s="7" t="str">
        <v>2026-10-18</v>
      </c>
    </row>
    <row r="57" ht="40" customHeight="1">
      <c r="B57" s="22" t="str">
        <v>S16</v>
      </c>
      <c r="C57" s="21" t="str">
        <v>期限とキャッシュ</v>
      </c>
      <c r="D57" s="21" t="str">
        <v>https://docs.aws.amazon.com/cognito/latest/developerguide/amazon-cognito-user-pools-using-tokens-caching-tokens.html</v>
      </c>
      <c r="E57" s="21" t="str">
        <v>2026-10-18</v>
      </c>
    </row>
    <row r="58" ht="40" customHeight="1">
      <c r="B58" s="20" t="str">
        <v>S17</v>
      </c>
      <c r="C58" s="7" t="str">
        <v>Cognitoのクォータ</v>
      </c>
      <c r="D58" s="7" t="str">
        <v>https://docs.aws.amazon.com/cognito/latest/developerguide/quotas.html</v>
      </c>
      <c r="E58" s="7" t="str">
        <v>2026-10-18</v>
      </c>
    </row>
    <row r="59" ht="37" customHeight="1">
      <c r="B59" s="22" t="str">
        <v>S18</v>
      </c>
      <c r="C59" s="21" t="str">
        <v>Cognito料金（料金判断の一次資料）</v>
      </c>
      <c r="D59" s="21" t="str">
        <v>https://aws.amazon.com/cognito/pricing/</v>
      </c>
      <c r="E59" s="21" t="str">
        <v>2026-10-18</v>
      </c>
    </row>
    <row r="60" ht="37" customHeight="1">
      <c r="B60" s="20" t="str">
        <v>S19</v>
      </c>
      <c r="C60" s="7" t="str">
        <v>PrivateLink料金</v>
      </c>
      <c r="D60" s="7" t="str">
        <v>https://aws.amazon.com/privatelink/pricing/</v>
      </c>
      <c r="E60" s="7" t="str">
        <v>2026-10-18</v>
      </c>
    </row>
    <row r="61" ht="40" customHeight="1">
      <c r="B61" s="22" t="str">
        <v>S20</v>
      </c>
      <c r="C61" s="21" t="str">
        <v>AWS PrivateLink DNS・経路・AZ</v>
      </c>
      <c r="D61" s="21" t="str">
        <v>https://docs.aws.amazon.com/vpc/latest/privatelink/privatelink-access-aws-services.html</v>
      </c>
      <c r="E61" s="21" t="str">
        <v>2026-10-18</v>
      </c>
    </row>
    <row r="62" ht="40" customHeight="1">
      <c r="B62" s="20" t="str">
        <v>S21</v>
      </c>
      <c r="C62" s="7" t="str">
        <v>Interface VPCEの設定</v>
      </c>
      <c r="D62" s="7" t="str">
        <v>https://docs.aws.amazon.com/vpc/latest/privatelink/interface-endpoints.html</v>
      </c>
      <c r="E62" s="7" t="str">
        <v>2026-10-18</v>
      </c>
    </row>
    <row r="63" ht="40" customHeight="1">
      <c r="B63" s="22" t="str">
        <v>S22</v>
      </c>
      <c r="C63" s="21" t="str">
        <v>Secrets ManagerのVPCE</v>
      </c>
      <c r="D63" s="21" t="str">
        <v>https://docs.aws.amazon.com/secretsmanager/latest/userguide/vpc-endpoint-overview.html</v>
      </c>
      <c r="E63" s="21" t="str">
        <v>2026-10-18</v>
      </c>
    </row>
    <row r="64" ht="40" customHeight="1">
      <c r="B64" s="20" t="str">
        <v>S23</v>
      </c>
      <c r="C64" s="7" t="str">
        <v>Direct Connectの概要</v>
      </c>
      <c r="D64" s="7" t="str">
        <v>https://docs.aws.amazon.com/directconnect/latest/UserGuide/Welcome.html</v>
      </c>
      <c r="E64" s="7" t="str">
        <v>2026-10-18</v>
      </c>
    </row>
    <row r="65" ht="40" customHeight="1">
      <c r="B65" s="22" t="str">
        <v>S24</v>
      </c>
      <c r="C65" s="21" t="str">
        <v>社内DNSからのResolver inbound</v>
      </c>
      <c r="D65" s="21" t="str">
        <v>https://docs.aws.amazon.com/Route53/latest/DeveloperGuide/resolver-forwarding-inbound-queries.html</v>
      </c>
      <c r="E65" s="21" t="str">
        <v>2026-10-18</v>
      </c>
    </row>
    <row r="66" ht="40" customHeight="1">
      <c r="B66" s="20" t="str">
        <v>S25</v>
      </c>
      <c r="C66" s="7" t="str">
        <v>SalesforceとPrivate APIの公式構成例（2024-02-29）</v>
      </c>
      <c r="D66" s="7" t="str">
        <v>https://aws.amazon.com/blogs/apn/private-integration-salesforce-and-amazon-api-gateway/</v>
      </c>
      <c r="E66" s="7" t="str">
        <v>2026-10-18</v>
      </c>
    </row>
    <row r="67" ht="55" customHeight="1">
      <c r="B67" s="22" t="str">
        <v>S26</v>
      </c>
      <c r="C67" s="21" t="str">
        <v>Salesforce Private Connect outbound</v>
      </c>
      <c r="D67" s="21" t="str">
        <v>https://trailhead.salesforce.com/content/learn/modules/private-connect-outbound-connections/create-an-outbound-connection</v>
      </c>
      <c r="E67" s="21" t="str">
        <v>2026-10-18</v>
      </c>
    </row>
    <row r="68" ht="40" customHeight="1">
      <c r="B68" s="20" t="str">
        <v>S27</v>
      </c>
      <c r="C68" s="7" t="str">
        <v>JMeter コンポーネント</v>
      </c>
      <c r="D68" s="7" t="str">
        <v>https://jmeter.apache.org/usermanual/component_reference.html</v>
      </c>
      <c r="E68" s="7" t="str">
        <v>2026-10-18</v>
      </c>
    </row>
    <row r="69" ht="37" customHeight="1">
      <c r="B69" s="22" t="str">
        <v>S28</v>
      </c>
      <c r="C69" s="21" t="str">
        <v>JMeter CLI・分散実行</v>
      </c>
      <c r="D69" s="21" t="str">
        <v>https://jmeter.apache.org/usermanual/get-started.html</v>
      </c>
      <c r="E69" s="21" t="str">
        <v>2026-10-18</v>
      </c>
    </row>
    <row r="70" ht="37" customHeight="1">
      <c r="B70" s="20" t="str">
        <v>S29</v>
      </c>
      <c r="C70" s="7" t="str">
        <v>JMeter ベストプラクティス</v>
      </c>
      <c r="D70" s="7" t="str">
        <v>https://jmeter.apache.org/usermanual/best-practices.html</v>
      </c>
      <c r="E70" s="7" t="str">
        <v>2026-10-18</v>
      </c>
    </row>
    <row r="71" ht="40" customHeight="1">
      <c r="B71" s="22" t="str">
        <v>S30</v>
      </c>
      <c r="C71" s="21" t="str">
        <v>JMeter 保存・TLS等のプロパティ</v>
      </c>
      <c r="D71" s="21" t="str">
        <v>https://jmeter.apache.org/usermanual/properties_reference.html</v>
      </c>
      <c r="E71" s="21" t="str">
        <v>2026-10-18</v>
      </c>
    </row>
    <row r="72" ht="37" customHeight="1">
      <c r="B72" s="20" t="str">
        <v>S31</v>
      </c>
      <c r="C72" s="7" t="str">
        <v>OAuth 2.0 RFC 6749（2012-10）</v>
      </c>
      <c r="D72" s="7" t="str">
        <v>https://www.rfc-editor.org/rfc/rfc6749.html</v>
      </c>
      <c r="E72" s="7" t="str">
        <v>2026-10-18</v>
      </c>
    </row>
    <row r="73" ht="85" customHeight="1">
      <c r="B73" s="22" t="str">
        <v>S32</v>
      </c>
      <c r="C73" s="21" t="str">
        <v>Cognito OAuth・Client Credentials提供（2017-08-10）</v>
      </c>
      <c r="D73" s="21" t="str">
        <v>https://aws.amazon.com/about-aws/whats-new/2017/08/amazon-cognito-launches-general-availability-of-a-built-in-customizable-user-experience-for-sign-in-oauth-2-0-support-and-federation-with-facebook-login-with-amazon-google-and-saml-providers-for-user-pools/</v>
      </c>
      <c r="E73" s="21" t="str">
        <v>2026-10-18</v>
      </c>
    </row>
    <row r="74" ht="40" customHeight="1">
      <c r="B74" s="20" t="str">
        <v>S33</v>
      </c>
      <c r="C74" s="7" t="str">
        <v>Private API提供（2018-06-14）</v>
      </c>
      <c r="D74" s="7" t="str">
        <v>https://aws.amazon.com/blogs/compute/introducing-amazon-api-gateway-private-endpoints/</v>
      </c>
      <c r="E74" s="7" t="str">
        <v>2026-10-18</v>
      </c>
    </row>
    <row r="75" ht="40" customHeight="1">
      <c r="B75" s="22" t="str">
        <v>S34</v>
      </c>
      <c r="C75" s="21" t="str">
        <v>Cognito User Pools PrivateLink提供（2025-11-07）</v>
      </c>
      <c r="D75" s="21" t="str">
        <v>https://aws.amazon.com/about-aws/whats-new/2025/11/amazon-cognito-user-pools-private-connectivity-aws-privatelink/</v>
      </c>
      <c r="E75" s="21" t="str">
        <v>2026-10-18</v>
      </c>
    </row>
    <row r="76" ht="40" customHeight="1">
      <c r="B76" s="20" t="str">
        <v>S35</v>
      </c>
      <c r="C76" s="7" t="str">
        <v>アプリクライアント作成の設定契約</v>
      </c>
      <c r="D76" s="7" t="str">
        <v>https://docs.aws.amazon.com/cognito-user-identity-pools/latest/APIReference/API_CreateUserPoolClient.html</v>
      </c>
      <c r="E76" s="7" t="str">
        <v>2026-10-18</v>
      </c>
    </row>
    <row r="77" ht="40" customHeight="1">
      <c r="B77" s="22" t="str">
        <v>S36</v>
      </c>
      <c r="C77" s="21" t="str">
        <v>アプリクライアントの秘密の追加</v>
      </c>
      <c r="D77" s="21" t="str">
        <v>https://docs.aws.amazon.com/cognito-user-identity-pools/latest/APIReference/API_AddUserPoolClientSecret.html</v>
      </c>
      <c r="E77" s="21" t="str">
        <v>2026-10-18</v>
      </c>
    </row>
    <row r="78" ht="40" customHeight="1">
      <c r="B78" s="20" t="str">
        <v>S37</v>
      </c>
      <c r="C78" s="7" t="str">
        <v>ユーザープール設定更新時の既定値への復帰</v>
      </c>
      <c r="D78" s="7" t="str">
        <v>https://docs.aws.amazon.com/cli/latest/reference/cognito-idp/update-user-pool.html</v>
      </c>
      <c r="E78" s="7" t="str">
        <v>2026-10-18</v>
      </c>
    </row>
    <row r="79" ht="40" customHeight="1">
      <c r="B79" s="22" t="str">
        <v>S38</v>
      </c>
      <c r="C79" s="21" t="str">
        <v>Issuer・OIDC discovery</v>
      </c>
      <c r="D79" s="21" t="str">
        <v>https://docs.aws.amazon.com/cognito/latest/developerguide/federation-endpoints.html</v>
      </c>
      <c r="E79" s="21" t="str">
        <v>2026-10-18</v>
      </c>
    </row>
    <row r="80" ht="37" customHeight="1">
      <c r="B80" s="20" t="str">
        <v>S39</v>
      </c>
      <c r="C80" s="7" t="str">
        <v>Cognito初期提供（2014-07-10）</v>
      </c>
      <c r="D80" s="7" t="str">
        <v>https://aws.amazon.com/blogs/aws/aws-mobile-services/</v>
      </c>
      <c r="E80" s="7" t="str">
        <v>2026-10-18</v>
      </c>
    </row>
    <row r="81" ht="40" customHeight="1">
      <c r="B81" s="22" t="str">
        <v>S40</v>
      </c>
      <c r="C81" s="21" t="str">
        <v>User Pools正式提供（2016-07-28）</v>
      </c>
      <c r="D81" s="21" t="str">
        <v>https://aws.amazon.com/about-aws/whats-new/2016/07/amazon-cognito-your-user-pools-is-now-generally-available/</v>
      </c>
      <c r="E81" s="21" t="str">
        <v>2026-10-18</v>
      </c>
    </row>
  </sheetData>
  <hyperlinks>
    <hyperlink r:id="rIdLink1" ref="D42"/>
    <hyperlink r:id="rIdLink2" ref="D43"/>
    <hyperlink r:id="rIdLink3" ref="D44"/>
    <hyperlink r:id="rIdLink4" ref="D45"/>
    <hyperlink r:id="rIdLink5" ref="D46"/>
    <hyperlink r:id="rIdLink6" ref="D47"/>
    <hyperlink r:id="rIdLink7" ref="D48"/>
    <hyperlink r:id="rIdLink8" ref="D49"/>
    <hyperlink r:id="rIdLink9" ref="D50"/>
    <hyperlink r:id="rIdLink10" ref="D51"/>
    <hyperlink r:id="rIdLink11" ref="D52"/>
    <hyperlink r:id="rIdLink12" ref="D53"/>
    <hyperlink r:id="rIdLink13" ref="D54"/>
    <hyperlink r:id="rIdLink14" ref="D55"/>
    <hyperlink r:id="rIdLink15" ref="D56"/>
    <hyperlink r:id="rIdLink16" ref="D57"/>
    <hyperlink r:id="rIdLink17" ref="D58"/>
    <hyperlink r:id="rIdLink18" ref="D59"/>
    <hyperlink r:id="rIdLink19" ref="D60"/>
    <hyperlink r:id="rIdLink20" ref="D61"/>
    <hyperlink r:id="rIdLink21" ref="D62"/>
    <hyperlink r:id="rIdLink22" ref="D63"/>
    <hyperlink r:id="rIdLink23" ref="D64"/>
    <hyperlink r:id="rIdLink24" ref="D65"/>
    <hyperlink r:id="rIdLink25" ref="D66"/>
    <hyperlink r:id="rIdLink26" ref="D67"/>
    <hyperlink r:id="rIdLink27" ref="D68"/>
    <hyperlink r:id="rIdLink28" ref="D69"/>
    <hyperlink r:id="rIdLink29" ref="D70"/>
    <hyperlink r:id="rIdLink30" ref="D71"/>
    <hyperlink r:id="rIdLink31" ref="D72"/>
    <hyperlink r:id="rIdLink32" ref="D73"/>
    <hyperlink r:id="rIdLink33" ref="D74"/>
    <hyperlink r:id="rIdLink34" ref="D75"/>
    <hyperlink r:id="rIdLink35" ref="D76"/>
    <hyperlink r:id="rIdLink36" ref="D77"/>
    <hyperlink r:id="rIdLink37" ref="D78"/>
    <hyperlink r:id="rIdLink38" ref="D79"/>
    <hyperlink r:id="rIdLink39" ref="D80"/>
    <hyperlink r:id="rIdLink40" ref="D81"/>
  </hyperlinks>
  <pageMargins left="0.25" right="0.25" top="0.35" bottom="0.35" header="0.15" footer="0.15"/>
  <pageSetup paperSize="8" orientation="landscape" fitToWidth="1" fitToHeight="0"/>
</worksheet>
</file>